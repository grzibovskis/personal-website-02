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rzyb\Desktop\react-website-v3-main\projects\"/>
    </mc:Choice>
  </mc:AlternateContent>
  <xr:revisionPtr revIDLastSave="0" documentId="13_ncr:1_{4310DD98-F15F-4FAD-BDF3-4463912089D6}" xr6:coauthVersionLast="47" xr6:coauthVersionMax="47" xr10:uidLastSave="{00000000-0000-0000-0000-000000000000}"/>
  <bookViews>
    <workbookView xWindow="28680" yWindow="15" windowWidth="29040" windowHeight="15840" activeTab="1" xr2:uid="{00000000-000D-0000-FFFF-FFFF00000000}"/>
  </bookViews>
  <sheets>
    <sheet name="Data" sheetId="1" r:id="rId1"/>
    <sheet name="TaskCount" sheetId="3" r:id="rId2"/>
  </sheets>
  <functionGroups builtInGroupCount="19"/>
  <externalReferences>
    <externalReference r:id="rId3"/>
  </externalReferences>
  <definedNames>
    <definedName name="claims">[1]Events2!#REF!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B40" i="3"/>
  <c r="B9" i="3" l="1"/>
  <c r="B19" i="3"/>
</calcChain>
</file>

<file path=xl/sharedStrings.xml><?xml version="1.0" encoding="utf-8"?>
<sst xmlns="http://schemas.openxmlformats.org/spreadsheetml/2006/main" count="708" uniqueCount="371">
  <si>
    <t>CAL</t>
  </si>
  <si>
    <t>MANUAL</t>
  </si>
  <si>
    <t xml:space="preserve"> </t>
  </si>
  <si>
    <r>
      <t>Recommended time EET</t>
    </r>
    <r>
      <rPr>
        <sz val="11"/>
        <rFont val="Calibri"/>
        <family val="2"/>
      </rPr>
      <t> </t>
    </r>
  </si>
  <si>
    <r>
      <t>Items</t>
    </r>
    <r>
      <rPr>
        <sz val="11"/>
        <rFont val="Calibri"/>
        <family val="2"/>
      </rPr>
      <t> </t>
    </r>
  </si>
  <si>
    <t>0 </t>
  </si>
  <si>
    <t>08:40 </t>
  </si>
  <si>
    <t>08:45 </t>
  </si>
  <si>
    <t>9:10 </t>
  </si>
  <si>
    <t>10:00 </t>
  </si>
  <si>
    <t>NO EVENTS </t>
  </si>
  <si>
    <t>    10:05 </t>
  </si>
  <si>
    <r>
      <t>Preparer</t>
    </r>
    <r>
      <rPr>
        <sz val="11"/>
        <rFont val="Calibri"/>
        <family val="2"/>
      </rPr>
      <t> </t>
    </r>
  </si>
  <si>
    <t> 1 ITEM </t>
  </si>
  <si>
    <t>10:10 </t>
  </si>
  <si>
    <t>1 </t>
  </si>
  <si>
    <t>10:15 </t>
  </si>
  <si>
    <t>28 </t>
  </si>
  <si>
    <t>10:20 </t>
  </si>
  <si>
    <r>
      <t>Transactions </t>
    </r>
    <r>
      <rPr>
        <sz val="11"/>
        <rFont val="Calibri"/>
        <family val="2"/>
      </rPr>
      <t> </t>
    </r>
  </si>
  <si>
    <r>
      <t>Transactions</t>
    </r>
    <r>
      <rPr>
        <sz val="11"/>
        <rFont val="Calibri"/>
        <family val="2"/>
      </rPr>
      <t> </t>
    </r>
  </si>
  <si>
    <t>ACK-9 </t>
  </si>
  <si>
    <t>ACK-2 </t>
  </si>
  <si>
    <t>ACK-1 </t>
  </si>
  <si>
    <r>
      <t>Excluded items</t>
    </r>
    <r>
      <rPr>
        <sz val="11"/>
        <rFont val="Calibri"/>
        <family val="2"/>
      </rPr>
      <t> </t>
    </r>
  </si>
  <si>
    <t>21 </t>
  </si>
  <si>
    <t>8 </t>
  </si>
  <si>
    <r>
      <t>Company</t>
    </r>
    <r>
      <rPr>
        <sz val="11"/>
        <rFont val="Calibri"/>
        <family val="2"/>
      </rPr>
      <t> </t>
    </r>
  </si>
  <si>
    <t>10:33 </t>
  </si>
  <si>
    <t>10:35 </t>
  </si>
  <si>
    <t>33 </t>
  </si>
  <si>
    <t>11 </t>
  </si>
  <si>
    <t>10:45 </t>
  </si>
  <si>
    <t>10:50 </t>
  </si>
  <si>
    <t>JG </t>
  </si>
  <si>
    <r>
      <t>Discrepancy</t>
    </r>
    <r>
      <rPr>
        <sz val="11"/>
        <rFont val="Calibri"/>
        <family val="2"/>
      </rPr>
      <t> </t>
    </r>
  </si>
  <si>
    <t>10:55 </t>
  </si>
  <si>
    <t>11:10 </t>
  </si>
  <si>
    <t>11:15 </t>
  </si>
  <si>
    <t>LINE NEED TO BE IN TEMPLATE </t>
  </si>
  <si>
    <t>ROBOT </t>
  </si>
  <si>
    <t>11:30 </t>
  </si>
  <si>
    <t>6 </t>
  </si>
  <si>
    <t>  </t>
  </si>
  <si>
    <t>11:40 </t>
  </si>
  <si>
    <t>12:00 </t>
  </si>
  <si>
    <r>
      <t>Type</t>
    </r>
    <r>
      <rPr>
        <sz val="11"/>
        <rFont val="Calibri"/>
        <family val="2"/>
      </rPr>
      <t> </t>
    </r>
  </si>
  <si>
    <t>87 </t>
  </si>
  <si>
    <t>5 </t>
  </si>
  <si>
    <t>13 </t>
  </si>
  <si>
    <r>
      <t>Account-Currency</t>
    </r>
    <r>
      <rPr>
        <sz val="11"/>
        <rFont val="Calibri"/>
        <family val="2"/>
      </rPr>
      <t> </t>
    </r>
  </si>
  <si>
    <r>
      <t>Link</t>
    </r>
    <r>
      <rPr>
        <sz val="11"/>
        <rFont val="Calibri"/>
        <family val="2"/>
      </rPr>
      <t> </t>
    </r>
  </si>
  <si>
    <t>YES </t>
  </si>
  <si>
    <t>12:05 </t>
  </si>
  <si>
    <t>12:10 </t>
  </si>
  <si>
    <t>12:15 </t>
  </si>
  <si>
    <t>12:20 </t>
  </si>
  <si>
    <r>
      <t>Action</t>
    </r>
    <r>
      <rPr>
        <sz val="11"/>
        <rFont val="Calibri"/>
        <family val="2"/>
      </rPr>
      <t> </t>
    </r>
  </si>
  <si>
    <t>    12:20 </t>
  </si>
  <si>
    <t>12:40 </t>
  </si>
  <si>
    <r>
      <t>Transactions </t>
    </r>
    <r>
      <rPr>
        <sz val="11"/>
        <rFont val="Calibri"/>
        <family val="2"/>
      </rPr>
      <t> </t>
    </r>
  </si>
  <si>
    <t>12:50 </t>
  </si>
  <si>
    <r>
      <t>Amendment</t>
    </r>
    <r>
      <rPr>
        <sz val="11"/>
        <rFont val="Calibri"/>
        <family val="2"/>
      </rPr>
      <t> </t>
    </r>
  </si>
  <si>
    <t>13:00 </t>
  </si>
  <si>
    <r>
      <t>Items </t>
    </r>
    <r>
      <rPr>
        <sz val="11"/>
        <rFont val="Calibri"/>
        <family val="2"/>
      </rPr>
      <t> </t>
    </r>
  </si>
  <si>
    <t>7 </t>
  </si>
  <si>
    <t>10 </t>
  </si>
  <si>
    <t>13:02 </t>
  </si>
  <si>
    <t>2 </t>
  </si>
  <si>
    <t>13:05 </t>
  </si>
  <si>
    <t>13:15 </t>
  </si>
  <si>
    <t>13:30 </t>
  </si>
  <si>
    <t>14:00 </t>
  </si>
  <si>
    <r>
      <t>Short name</t>
    </r>
    <r>
      <rPr>
        <sz val="11"/>
        <rFont val="Calibri"/>
        <family val="2"/>
      </rPr>
      <t> </t>
    </r>
  </si>
  <si>
    <t>    14:05 </t>
  </si>
  <si>
    <t>0 ITEMS </t>
  </si>
  <si>
    <t>14:40 </t>
  </si>
  <si>
    <t>14:50 </t>
  </si>
  <si>
    <t>14:55 </t>
  </si>
  <si>
    <t>ACK-208 </t>
  </si>
  <si>
    <t>ACK-154 </t>
  </si>
  <si>
    <t>15:00 </t>
  </si>
  <si>
    <t>15:05 </t>
  </si>
  <si>
    <t>15:10 </t>
  </si>
  <si>
    <t>15:15 </t>
  </si>
  <si>
    <t>15:20 </t>
  </si>
  <si>
    <t>ACK - 2 </t>
  </si>
  <si>
    <t>External x 2 </t>
  </si>
  <si>
    <t>External payments (Sebis) </t>
  </si>
  <si>
    <t>External payments (SEBCASE) </t>
  </si>
  <si>
    <t>Returns/Refunds </t>
  </si>
  <si>
    <t>15:25 </t>
  </si>
  <si>
    <t>4 </t>
  </si>
  <si>
    <t>15:30 </t>
  </si>
  <si>
    <t>15:35 </t>
  </si>
  <si>
    <t>15:40 </t>
  </si>
  <si>
    <t>15:45 </t>
  </si>
  <si>
    <t>15:50 </t>
  </si>
  <si>
    <t>15:55 </t>
  </si>
  <si>
    <t>16:00 </t>
  </si>
  <si>
    <t>16:05 </t>
  </si>
  <si>
    <t>16:10 </t>
  </si>
  <si>
    <t>    16:10 </t>
  </si>
  <si>
    <t>16:15 </t>
  </si>
  <si>
    <t>16:20 </t>
  </si>
  <si>
    <t>16:25 </t>
  </si>
  <si>
    <t>16:30 </t>
  </si>
  <si>
    <t>16:35 </t>
  </si>
  <si>
    <t>16:37 </t>
  </si>
  <si>
    <t>16:39 </t>
  </si>
  <si>
    <t>16:40 </t>
  </si>
  <si>
    <t>16:45 </t>
  </si>
  <si>
    <t>16:50 </t>
  </si>
  <si>
    <t>16:55 </t>
  </si>
  <si>
    <t>    17:00 </t>
  </si>
  <si>
    <t>0 ITEM </t>
  </si>
  <si>
    <t xml:space="preserve"> 400 </t>
  </si>
  <si>
    <t>Ack-1</t>
  </si>
  <si>
    <t>NACK-1</t>
  </si>
  <si>
    <t>"TAGS"</t>
  </si>
  <si>
    <t>Risotto</t>
  </si>
  <si>
    <t>Blueberry</t>
  </si>
  <si>
    <t>Truffle</t>
  </si>
  <si>
    <t>Mango</t>
  </si>
  <si>
    <t>Honey</t>
  </si>
  <si>
    <t>Latte</t>
  </si>
  <si>
    <t>Cinnamon</t>
  </si>
  <si>
    <t>Avocado</t>
  </si>
  <si>
    <t>Pumpkin</t>
  </si>
  <si>
    <t>Spice</t>
  </si>
  <si>
    <t>Tesla</t>
  </si>
  <si>
    <t>Mustang</t>
  </si>
  <si>
    <t>Porsche</t>
  </si>
  <si>
    <t>Aventador</t>
  </si>
  <si>
    <t>Toyota</t>
  </si>
  <si>
    <t>Corolla</t>
  </si>
  <si>
    <t>Chevrolet</t>
  </si>
  <si>
    <t>Honda</t>
  </si>
  <si>
    <t>Wrangler</t>
  </si>
  <si>
    <t>Greece</t>
  </si>
  <si>
    <t>Japan</t>
  </si>
  <si>
    <t>Canada</t>
  </si>
  <si>
    <t>Iceland</t>
  </si>
  <si>
    <t>Serengeti</t>
  </si>
  <si>
    <t>Picchu</t>
  </si>
  <si>
    <t>Italy</t>
  </si>
  <si>
    <t>Canyon</t>
  </si>
  <si>
    <t>French</t>
  </si>
  <si>
    <t>Glazed</t>
  </si>
  <si>
    <t>Matcha</t>
  </si>
  <si>
    <t>L:\LOCATION</t>
  </si>
  <si>
    <t>TASK1</t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</si>
  <si>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</si>
  <si>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</si>
  <si>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</si>
  <si>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</si>
  <si>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</si>
  <si>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</si>
  <si>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</si>
  <si>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</si>
  <si>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</si>
  <si>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TASK11</t>
  </si>
  <si>
    <t>TASK12</t>
  </si>
  <si>
    <t>TASK13</t>
  </si>
  <si>
    <t>TASK14</t>
  </si>
  <si>
    <t>TASK15</t>
  </si>
  <si>
    <t>TASK16</t>
  </si>
  <si>
    <t>TASK17</t>
  </si>
  <si>
    <t>TASK18</t>
  </si>
  <si>
    <t>TASK19</t>
  </si>
  <si>
    <t>TASK20</t>
  </si>
  <si>
    <t>TASK21</t>
  </si>
  <si>
    <t>TASK22</t>
  </si>
  <si>
    <t>TASK23</t>
  </si>
  <si>
    <t>TASK24</t>
  </si>
  <si>
    <t>TASK25</t>
  </si>
  <si>
    <t>TASK26</t>
  </si>
  <si>
    <t>TASK27</t>
  </si>
  <si>
    <t>TASK28</t>
  </si>
  <si>
    <t>TASK29</t>
  </si>
  <si>
    <t>TASK30</t>
  </si>
  <si>
    <t>TASK31</t>
  </si>
  <si>
    <t>TASK32</t>
  </si>
  <si>
    <t>TASK33</t>
  </si>
  <si>
    <t>TASK34</t>
  </si>
  <si>
    <t>TASK35</t>
  </si>
  <si>
    <t>TASK36</t>
  </si>
  <si>
    <t>TASK37</t>
  </si>
  <si>
    <t>TASK38</t>
  </si>
  <si>
    <t>TASK39</t>
  </si>
  <si>
    <t>TASK40</t>
  </si>
  <si>
    <t>TASK41</t>
  </si>
  <si>
    <t>TASK42</t>
  </si>
  <si>
    <t>TASK43</t>
  </si>
  <si>
    <t>TASK44</t>
  </si>
  <si>
    <t>TASK45</t>
  </si>
  <si>
    <t>TASK46</t>
  </si>
  <si>
    <t>TASK47</t>
  </si>
  <si>
    <t>TASK48</t>
  </si>
  <si>
    <t>08:00 </t>
  </si>
  <si>
    <t>Task 1</t>
  </si>
  <si>
    <t>Worker</t>
  </si>
  <si>
    <t>Jhon </t>
  </si>
  <si>
    <t>Task 2</t>
  </si>
  <si>
    <t>Anna </t>
  </si>
  <si>
    <t>Task 3</t>
  </si>
  <si>
    <t>08:58 </t>
  </si>
  <si>
    <t>Numbers</t>
  </si>
  <si>
    <t>Task 4</t>
  </si>
  <si>
    <t>09:09 </t>
  </si>
  <si>
    <r>
      <t>Name</t>
    </r>
    <r>
      <rPr>
        <sz val="11"/>
        <rFont val="Calibri"/>
        <family val="2"/>
      </rPr>
      <t> </t>
    </r>
  </si>
  <si>
    <t>Task 5</t>
  </si>
  <si>
    <t>SKIPP</t>
  </si>
  <si>
    <t>GATH</t>
  </si>
  <si>
    <t>GOTH </t>
  </si>
  <si>
    <t>FFAS</t>
  </si>
  <si>
    <t>GGFRS</t>
  </si>
  <si>
    <t>Task 6</t>
  </si>
  <si>
    <t>Robotics </t>
  </si>
  <si>
    <t xml:space="preserve">Package </t>
  </si>
  <si>
    <t>Reference. </t>
  </si>
  <si>
    <r>
      <t>Transactions  </t>
    </r>
    <r>
      <rPr>
        <b/>
        <i/>
        <sz val="6"/>
        <rFont val="Calibri"/>
        <family val="2"/>
      </rPr>
      <t>Latte</t>
    </r>
  </si>
  <si>
    <t>Task 7</t>
  </si>
  <si>
    <t>TRAASSS</t>
  </si>
  <si>
    <t>223344PSCK3459</t>
  </si>
  <si>
    <t>ACK-99</t>
  </si>
  <si>
    <t>Task 8</t>
  </si>
  <si>
    <t>Robotics  </t>
  </si>
  <si>
    <t>Task 9</t>
  </si>
  <si>
    <t>Task 10</t>
  </si>
  <si>
    <r>
      <t>Items </t>
    </r>
    <r>
      <rPr>
        <b/>
        <i/>
        <sz val="6"/>
        <rFont val="Calibri"/>
        <family val="2"/>
      </rPr>
      <t>Japan</t>
    </r>
  </si>
  <si>
    <t>Task 11</t>
  </si>
  <si>
    <t>WorkerRODC </t>
  </si>
  <si>
    <t>RODC </t>
  </si>
  <si>
    <t>Reference. Aventador</t>
  </si>
  <si>
    <t>Task 12</t>
  </si>
  <si>
    <t>ROBOT</t>
  </si>
  <si>
    <t>KALF</t>
  </si>
  <si>
    <t>ACK-1</t>
  </si>
  <si>
    <t>Task 13</t>
  </si>
  <si>
    <t>223344PSCK3456</t>
  </si>
  <si>
    <t>223344PSCK3457</t>
  </si>
  <si>
    <t>223344PSCK3458</t>
  </si>
  <si>
    <t>Task 14</t>
  </si>
  <si>
    <t>TTU</t>
  </si>
  <si>
    <t>Task 15</t>
  </si>
  <si>
    <t>Task 16</t>
  </si>
  <si>
    <t>10:36 </t>
  </si>
  <si>
    <t>Task 17</t>
  </si>
  <si>
    <t>Items Mustang </t>
  </si>
  <si>
    <t>Task 18</t>
  </si>
  <si>
    <t>Task 19</t>
  </si>
  <si>
    <t>Shortname / Package </t>
  </si>
  <si>
    <t>Responsible Worker</t>
  </si>
  <si>
    <t>MCDON</t>
  </si>
  <si>
    <t>40 </t>
  </si>
  <si>
    <t>Task 20</t>
  </si>
  <si>
    <t>Task 21</t>
  </si>
  <si>
    <t>Task 22</t>
  </si>
  <si>
    <t>Name</t>
  </si>
  <si>
    <t>Package </t>
  </si>
  <si>
    <r>
      <t>Transactions </t>
    </r>
    <r>
      <rPr>
        <b/>
        <i/>
        <sz val="6"/>
        <rFont val="Calibri"/>
        <family val="2"/>
      </rPr>
      <t>Honey</t>
    </r>
  </si>
  <si>
    <t>223344PSCK3488</t>
  </si>
  <si>
    <t>ACK-77</t>
  </si>
  <si>
    <t>Task 23</t>
  </si>
  <si>
    <t>Task 24</t>
  </si>
  <si>
    <r>
      <t>Items </t>
    </r>
    <r>
      <rPr>
        <b/>
        <i/>
        <sz val="6"/>
        <rFont val="Calibri"/>
        <family val="2"/>
      </rPr>
      <t>Greece</t>
    </r>
  </si>
  <si>
    <t>223344PSCK3468</t>
  </si>
  <si>
    <t>ACK-79</t>
  </si>
  <si>
    <t>Task 25</t>
  </si>
  <si>
    <t xml:space="preserve">Afternoon Procedures </t>
  </si>
  <si>
    <t>Task 26</t>
  </si>
  <si>
    <t>Packages </t>
  </si>
  <si>
    <r>
      <t>Transactions </t>
    </r>
    <r>
      <rPr>
        <b/>
        <i/>
        <sz val="6"/>
        <rFont val="Calibri"/>
        <family val="2"/>
      </rPr>
      <t>Glazed</t>
    </r>
  </si>
  <si>
    <t>PROD1</t>
  </si>
  <si>
    <t>PROD2</t>
  </si>
  <si>
    <t>Task 27</t>
  </si>
  <si>
    <t>Account</t>
  </si>
  <si>
    <t>68179 </t>
  </si>
  <si>
    <t>Task 28</t>
  </si>
  <si>
    <t> Worker</t>
  </si>
  <si>
    <t> </t>
  </si>
  <si>
    <t>Packages Toyota</t>
  </si>
  <si>
    <t>Task 29</t>
  </si>
  <si>
    <t>P-name</t>
  </si>
  <si>
    <t>Reference. Porsche </t>
  </si>
  <si>
    <r>
      <t>Transactions </t>
    </r>
    <r>
      <rPr>
        <b/>
        <i/>
        <sz val="6"/>
        <rFont val="Calibri"/>
        <family val="2"/>
      </rPr>
      <t>Matcha</t>
    </r>
  </si>
  <si>
    <t>MMCD</t>
  </si>
  <si>
    <t>223344PSCK3486</t>
  </si>
  <si>
    <t>223344PSCK3483</t>
  </si>
  <si>
    <t>223344PSCK3422</t>
  </si>
  <si>
    <t>57675 </t>
  </si>
  <si>
    <t>Task 30</t>
  </si>
  <si>
    <t>GATSDD</t>
  </si>
  <si>
    <t>223344GGCTK3488</t>
  </si>
  <si>
    <t>223344GGCTK3489</t>
  </si>
  <si>
    <t>223344GGCTK3486</t>
  </si>
  <si>
    <t>Task 31</t>
  </si>
  <si>
    <t>INTR   Reference. </t>
  </si>
  <si>
    <t>DELETE</t>
  </si>
  <si>
    <t>REDM   Reference. </t>
  </si>
  <si>
    <t>Task 32</t>
  </si>
  <si>
    <t>Task 33</t>
  </si>
  <si>
    <r>
      <t>Items </t>
    </r>
    <r>
      <rPr>
        <b/>
        <i/>
        <sz val="6"/>
        <rFont val="Calibri"/>
        <family val="2"/>
      </rPr>
      <t>Canada</t>
    </r>
  </si>
  <si>
    <t>Task 34</t>
  </si>
  <si>
    <t>6944 </t>
  </si>
  <si>
    <t>DONE</t>
  </si>
  <si>
    <t>Task 35</t>
  </si>
  <si>
    <t>Task 36</t>
  </si>
  <si>
    <t>Task 37</t>
  </si>
  <si>
    <t>Task 38</t>
  </si>
  <si>
    <t>Task 39</t>
  </si>
  <si>
    <t>Task 40</t>
  </si>
  <si>
    <t>P-Name</t>
  </si>
  <si>
    <t>Task 41</t>
  </si>
  <si>
    <t>Reference. CNTEXTM </t>
  </si>
  <si>
    <r>
      <t>Transactions </t>
    </r>
    <r>
      <rPr>
        <b/>
        <i/>
        <sz val="6"/>
        <rFont val="Calibri"/>
        <family val="2"/>
      </rPr>
      <t>Honda</t>
    </r>
  </si>
  <si>
    <t>UUPD</t>
  </si>
  <si>
    <t>125EXTM43698</t>
  </si>
  <si>
    <t>125EXTM43TT9</t>
  </si>
  <si>
    <t>Task 42</t>
  </si>
  <si>
    <t>Task 43</t>
  </si>
  <si>
    <t>Reference. Chevrolet</t>
  </si>
  <si>
    <t>Task 44</t>
  </si>
  <si>
    <t>Package MANUAL </t>
  </si>
  <si>
    <r>
      <t>Items </t>
    </r>
    <r>
      <rPr>
        <b/>
        <i/>
        <sz val="6"/>
        <rFont val="Calibri"/>
        <family val="2"/>
      </rPr>
      <t>Wrangler</t>
    </r>
  </si>
  <si>
    <t>TTAS</t>
  </si>
  <si>
    <t>Package ROBOTIC </t>
  </si>
  <si>
    <r>
      <t>Items </t>
    </r>
    <r>
      <rPr>
        <b/>
        <i/>
        <sz val="6"/>
        <rFont val="Calibri"/>
        <family val="2"/>
      </rPr>
      <t>Canyon</t>
    </r>
  </si>
  <si>
    <t>Task 45</t>
  </si>
  <si>
    <r>
      <t>Transactions </t>
    </r>
    <r>
      <rPr>
        <b/>
        <i/>
        <sz val="6"/>
        <rFont val="Calibri"/>
        <family val="2"/>
      </rPr>
      <t>Latte</t>
    </r>
  </si>
  <si>
    <t>HHTT</t>
  </si>
  <si>
    <t>125PACK43698</t>
  </si>
  <si>
    <t>HHYR</t>
  </si>
  <si>
    <t>Task 46</t>
  </si>
  <si>
    <t>Task 47</t>
  </si>
  <si>
    <t>Task 48</t>
  </si>
  <si>
    <t>Type Avocado</t>
  </si>
  <si>
    <r>
      <t>MESSAGE ACK </t>
    </r>
    <r>
      <rPr>
        <b/>
        <i/>
        <sz val="6"/>
        <rFont val="Calibri"/>
        <family val="2"/>
      </rPr>
      <t>Pumpkin</t>
    </r>
  </si>
  <si>
    <t>HHJK</t>
  </si>
  <si>
    <t>Internal x 55</t>
  </si>
  <si>
    <t>UPTB</t>
  </si>
  <si>
    <t> Name</t>
  </si>
  <si>
    <r>
      <t> </t>
    </r>
    <r>
      <rPr>
        <i/>
        <sz val="11"/>
        <rFont val="Calibri"/>
        <family val="2"/>
      </rPr>
      <t>Items </t>
    </r>
    <r>
      <rPr>
        <b/>
        <i/>
        <sz val="6"/>
        <rFont val="Calibri"/>
        <family val="2"/>
      </rPr>
      <t>French</t>
    </r>
  </si>
  <si>
    <t>1/3242354645/FABRICA </t>
  </si>
  <si>
    <r>
      <t> </t>
    </r>
    <r>
      <rPr>
        <i/>
        <sz val="11"/>
        <rFont val="Calibri"/>
        <family val="2"/>
      </rPr>
      <t>Items </t>
    </r>
    <r>
      <rPr>
        <b/>
        <i/>
        <sz val="6"/>
        <rFont val="Calibri"/>
        <family val="2"/>
      </rPr>
      <t>Tesla</t>
    </r>
  </si>
  <si>
    <t>TARGET</t>
  </si>
  <si>
    <r>
      <t> </t>
    </r>
    <r>
      <rPr>
        <i/>
        <sz val="11"/>
        <rFont val="Calibri"/>
        <family val="2"/>
      </rPr>
      <t>Items </t>
    </r>
    <r>
      <rPr>
        <b/>
        <i/>
        <sz val="6"/>
        <rFont val="Calibri"/>
        <family val="2"/>
      </rPr>
      <t>Iceland</t>
    </r>
  </si>
  <si>
    <t>Task 49</t>
  </si>
  <si>
    <r>
      <t>Items </t>
    </r>
    <r>
      <rPr>
        <b/>
        <sz val="6"/>
        <color rgb="FF000000"/>
        <rFont val="Calibri"/>
        <family val="2"/>
      </rPr>
      <t>Cinnamon</t>
    </r>
  </si>
  <si>
    <t>Task 50</t>
  </si>
  <si>
    <t>Task 51</t>
  </si>
  <si>
    <r>
      <t>Amount/REFT</t>
    </r>
    <r>
      <rPr>
        <b/>
        <i/>
        <sz val="6"/>
        <rFont val="Calibri"/>
        <family val="2"/>
      </rPr>
      <t>Spice</t>
    </r>
  </si>
  <si>
    <t>Task 52</t>
  </si>
  <si>
    <t>Task 53</t>
  </si>
  <si>
    <t>Task 54</t>
  </si>
  <si>
    <t>Task 55</t>
  </si>
  <si>
    <t>Task 56</t>
  </si>
  <si>
    <t>Task 57</t>
  </si>
  <si>
    <t>Task 58</t>
  </si>
  <si>
    <t>Task 59</t>
  </si>
  <si>
    <t>Task 60</t>
  </si>
  <si>
    <t>Task 61</t>
  </si>
  <si>
    <t>Task 62</t>
  </si>
  <si>
    <t>Task 63</t>
  </si>
  <si>
    <t>Task 64</t>
  </si>
  <si>
    <t>Task 65</t>
  </si>
  <si>
    <t>Task 66</t>
  </si>
  <si>
    <t>Task 67</t>
  </si>
  <si>
    <t>Task 68</t>
  </si>
  <si>
    <t>Task 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</si>
</sst>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sz val="11"/>
      <name val="SEB SansSerif"/>
    </font>
    <font>
      <sz val="11"/>
      <color theme="1"/>
      <name val="Segoe UI"/>
      <family val="2"/>
    </font>
    <font>
      <b/>
      <sz val="11"/>
      <name val="Calibri"/>
      <family val="2"/>
    </font>
    <font>
      <sz val="11"/>
      <name val="Calibri"/>
      <family val="2"/>
    </font>
    <font>
      <i/>
      <sz val="11"/>
      <name val="Calibri"/>
      <family val="2"/>
    </font>
    <font>
      <b/>
      <i/>
      <sz val="6"/>
      <name val="Calibri"/>
      <family val="2"/>
    </font>
    <font>
      <b/>
      <sz val="11"/>
      <color rgb="FFFF0000"/>
      <name val="Calibri"/>
      <family val="2"/>
    </font>
    <font>
      <sz val="11"/>
      <color rgb="FF242424"/>
      <name val="Calibri"/>
      <family val="2"/>
    </font>
    <font>
      <b/>
      <sz val="6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FF0000"/>
      <name val="SEB SansSerif"/>
    </font>
    <font>
      <b/>
      <sz val="11"/>
      <color rgb="FFFF0000"/>
      <name val="SEB SansSerif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BEE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/>
      <top style="medium">
        <color rgb="FF909090"/>
      </top>
      <bottom style="medium">
        <color rgb="FF909090"/>
      </bottom>
      <diagonal/>
    </border>
    <border>
      <left/>
      <right/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/>
      <diagonal/>
    </border>
    <border>
      <left style="medium">
        <color rgb="FF909090"/>
      </left>
      <right style="medium">
        <color rgb="FF909090"/>
      </right>
      <top/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medium">
        <color rgb="FF909090"/>
      </top>
      <bottom style="thin">
        <color rgb="FF000000"/>
      </bottom>
      <diagonal/>
    </border>
    <border>
      <left style="medium">
        <color rgb="FF909090"/>
      </left>
      <right style="thin">
        <color rgb="FF000000"/>
      </right>
      <top style="medium">
        <color rgb="FF909090"/>
      </top>
      <bottom style="medium">
        <color rgb="FF909090"/>
      </bottom>
      <diagonal/>
    </border>
    <border>
      <left/>
      <right/>
      <top style="medium">
        <color rgb="FF909090"/>
      </top>
      <bottom/>
      <diagonal/>
    </border>
    <border>
      <left/>
      <right/>
      <top/>
      <bottom style="medium">
        <color rgb="FF909090"/>
      </bottom>
      <diagonal/>
    </border>
    <border>
      <left style="medium">
        <color rgb="FF909090"/>
      </left>
      <right style="medium">
        <color rgb="FF909090"/>
      </right>
      <top/>
      <bottom/>
      <diagonal/>
    </border>
    <border>
      <left style="medium">
        <color rgb="FF90909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 style="thin">
        <color rgb="FF000000"/>
      </bottom>
      <diagonal/>
    </border>
    <border>
      <left style="medium">
        <color rgb="FF909090"/>
      </left>
      <right/>
      <top/>
      <bottom style="medium">
        <color rgb="FF909090"/>
      </bottom>
      <diagonal/>
    </border>
    <border>
      <left style="medium">
        <color rgb="FF909090"/>
      </left>
      <right/>
      <top/>
      <bottom/>
      <diagonal/>
    </border>
    <border>
      <left style="medium">
        <color rgb="FF909090"/>
      </left>
      <right/>
      <top style="thin">
        <color rgb="FF000000"/>
      </top>
      <bottom style="medium">
        <color rgb="FF909090"/>
      </bottom>
      <diagonal/>
    </border>
    <border>
      <left/>
      <right/>
      <top style="thin">
        <color rgb="FF000000"/>
      </top>
      <bottom style="medium">
        <color rgb="FF909090"/>
      </bottom>
      <diagonal/>
    </border>
    <border>
      <left/>
      <right style="thin">
        <color rgb="FF000000"/>
      </right>
      <top style="thin">
        <color rgb="FF00000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/>
      <diagonal/>
    </border>
    <border>
      <left/>
      <right style="thin">
        <color rgb="FF000000"/>
      </right>
      <top style="medium">
        <color rgb="FF909090"/>
      </top>
      <bottom/>
      <diagonal/>
    </border>
    <border>
      <left style="thin">
        <color rgb="FF000000"/>
      </left>
      <right style="medium">
        <color rgb="FF909090"/>
      </right>
      <top/>
      <bottom style="medium">
        <color rgb="FF909090"/>
      </bottom>
      <diagonal/>
    </border>
    <border>
      <left/>
      <right style="thin">
        <color rgb="FF000000"/>
      </right>
      <top/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/>
      <bottom style="thin">
        <color rgb="FF000000"/>
      </bottom>
      <diagonal/>
    </border>
    <border>
      <left style="medium">
        <color rgb="FF909090"/>
      </left>
      <right style="medium">
        <color rgb="FF90909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909090"/>
      </left>
      <right/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9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3" fontId="1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5" fillId="4" borderId="2" xfId="0" applyFont="1" applyFill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5" fillId="4" borderId="8" xfId="0" applyFont="1" applyFill="1" applyBorder="1" applyAlignment="1">
      <alignment horizontal="left" vertical="center" wrapText="1"/>
    </xf>
    <xf numFmtId="0" fontId="4" fillId="0" borderId="9" xfId="0" applyFont="1" applyBorder="1" applyAlignment="1">
      <alignment horizontal="left" vertical="center" wrapText="1"/>
    </xf>
    <xf numFmtId="0" fontId="5" fillId="4" borderId="10" xfId="0" applyFont="1" applyFill="1" applyBorder="1" applyAlignment="1">
      <alignment horizontal="left" vertical="center" wrapText="1"/>
    </xf>
    <xf numFmtId="0" fontId="0" fillId="0" borderId="11" xfId="0" applyBorder="1"/>
    <xf numFmtId="0" fontId="4" fillId="0" borderId="10" xfId="0" applyFont="1" applyBorder="1" applyAlignment="1">
      <alignment horizontal="left" vertical="center" wrapText="1"/>
    </xf>
    <xf numFmtId="0" fontId="0" fillId="0" borderId="12" xfId="0" applyBorder="1"/>
    <xf numFmtId="0" fontId="2" fillId="0" borderId="5" xfId="0" applyFont="1" applyBorder="1" applyAlignment="1">
      <alignment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13" xfId="0" applyFont="1" applyBorder="1" applyAlignment="1">
      <alignment horizontal="left" vertical="center" wrapText="1"/>
    </xf>
    <xf numFmtId="0" fontId="0" fillId="0" borderId="13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5" fillId="4" borderId="14" xfId="0" applyFont="1" applyFill="1" applyBorder="1" applyAlignment="1">
      <alignment horizontal="left" vertical="center" wrapText="1"/>
    </xf>
    <xf numFmtId="0" fontId="4" fillId="0" borderId="16" xfId="0" applyFont="1" applyBorder="1" applyAlignment="1">
      <alignment horizontal="left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5" fillId="4" borderId="10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 vertical="center" wrapText="1"/>
    </xf>
    <xf numFmtId="0" fontId="10" fillId="0" borderId="13" xfId="1" applyBorder="1" applyAlignment="1">
      <alignment horizontal="left" vertical="center" wrapText="1"/>
    </xf>
    <xf numFmtId="0" fontId="7" fillId="0" borderId="13" xfId="0" applyFont="1" applyBorder="1" applyAlignment="1">
      <alignment horizontal="left" vertical="center" wrapText="1"/>
    </xf>
    <xf numFmtId="0" fontId="4" fillId="6" borderId="16" xfId="0" applyFont="1" applyFill="1" applyBorder="1" applyAlignment="1">
      <alignment horizontal="left" vertical="center" wrapText="1"/>
    </xf>
    <xf numFmtId="0" fontId="4" fillId="6" borderId="9" xfId="0" applyFont="1" applyFill="1" applyBorder="1" applyAlignment="1">
      <alignment horizontal="left" vertical="center" wrapText="1"/>
    </xf>
    <xf numFmtId="0" fontId="4" fillId="7" borderId="2" xfId="0" applyFont="1" applyFill="1" applyBorder="1" applyAlignment="1">
      <alignment horizontal="left" vertical="center" wrapText="1"/>
    </xf>
    <xf numFmtId="0" fontId="4" fillId="7" borderId="16" xfId="0" applyFont="1" applyFill="1" applyBorder="1" applyAlignment="1">
      <alignment horizontal="left" vertical="center" wrapText="1"/>
    </xf>
    <xf numFmtId="0" fontId="4" fillId="7" borderId="9" xfId="0" applyFont="1" applyFill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0" fillId="0" borderId="23" xfId="0" applyBorder="1"/>
    <xf numFmtId="0" fontId="0" fillId="0" borderId="25" xfId="0" applyBorder="1"/>
    <xf numFmtId="0" fontId="0" fillId="0" borderId="27" xfId="0" applyBorder="1"/>
    <xf numFmtId="0" fontId="4" fillId="4" borderId="15" xfId="0" applyFont="1" applyFill="1" applyBorder="1" applyAlignment="1">
      <alignment horizontal="left" vertical="center" wrapText="1"/>
    </xf>
    <xf numFmtId="0" fontId="0" fillId="0" borderId="31" xfId="0" applyBorder="1"/>
    <xf numFmtId="0" fontId="0" fillId="0" borderId="32" xfId="0" applyBorder="1"/>
    <xf numFmtId="0" fontId="4" fillId="4" borderId="14" xfId="0" applyFont="1" applyFill="1" applyBorder="1" applyAlignment="1">
      <alignment horizontal="left" vertical="center" wrapText="1"/>
    </xf>
    <xf numFmtId="0" fontId="4" fillId="7" borderId="10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0" fontId="8" fillId="0" borderId="16" xfId="0" applyFont="1" applyBorder="1" applyAlignment="1">
      <alignment horizontal="left" vertical="center" wrapText="1"/>
    </xf>
    <xf numFmtId="0" fontId="4" fillId="4" borderId="7" xfId="0" applyFont="1" applyFill="1" applyBorder="1" applyAlignment="1">
      <alignment horizontal="left" vertical="center" wrapText="1"/>
    </xf>
    <xf numFmtId="0" fontId="4" fillId="4" borderId="8" xfId="0" applyFont="1" applyFill="1" applyBorder="1" applyAlignment="1">
      <alignment horizontal="left" vertical="center" wrapText="1"/>
    </xf>
    <xf numFmtId="0" fontId="0" fillId="8" borderId="0" xfId="0" applyFill="1"/>
    <xf numFmtId="0" fontId="0" fillId="0" borderId="34" xfId="0" applyBorder="1" applyAlignment="1">
      <alignment horizontal="center"/>
    </xf>
    <xf numFmtId="0" fontId="0" fillId="8" borderId="34" xfId="0" applyFill="1" applyBorder="1"/>
    <xf numFmtId="3" fontId="11" fillId="3" borderId="1" xfId="0" applyNumberFormat="1" applyFont="1" applyFill="1" applyBorder="1" applyAlignment="1" applyProtection="1">
      <alignment horizontal="center" vertical="center"/>
      <protection locked="0"/>
    </xf>
    <xf numFmtId="14" fontId="0" fillId="2" borderId="34" xfId="0" applyNumberFormat="1" applyFill="1" applyBorder="1"/>
    <xf numFmtId="0" fontId="0" fillId="2" borderId="34" xfId="0" applyFill="1" applyBorder="1"/>
    <xf numFmtId="0" fontId="4" fillId="0" borderId="22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4" fillId="0" borderId="29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left" vertical="center" wrapText="1"/>
    </xf>
    <xf numFmtId="0" fontId="4" fillId="5" borderId="22" xfId="0" applyFont="1" applyFill="1" applyBorder="1" applyAlignment="1">
      <alignment horizontal="center" vertical="center" wrapText="1"/>
    </xf>
    <xf numFmtId="0" fontId="4" fillId="5" borderId="24" xfId="0" applyFont="1" applyFill="1" applyBorder="1" applyAlignment="1">
      <alignment horizontal="center" vertical="center" wrapText="1"/>
    </xf>
    <xf numFmtId="0" fontId="10" fillId="0" borderId="5" xfId="1" applyBorder="1" applyAlignment="1">
      <alignment horizontal="left" vertical="center" wrapText="1"/>
    </xf>
    <xf numFmtId="0" fontId="10" fillId="0" borderId="6" xfId="1" applyBorder="1" applyAlignment="1">
      <alignment horizontal="left" vertical="center" wrapText="1"/>
    </xf>
    <xf numFmtId="0" fontId="4" fillId="4" borderId="3" xfId="0" applyFont="1" applyFill="1" applyBorder="1" applyAlignment="1">
      <alignment horizontal="left" vertical="center" wrapText="1"/>
    </xf>
    <xf numFmtId="0" fontId="4" fillId="4" borderId="4" xfId="0" applyFont="1" applyFill="1" applyBorder="1" applyAlignment="1">
      <alignment horizontal="left" vertical="center" wrapText="1"/>
    </xf>
    <xf numFmtId="0" fontId="4" fillId="4" borderId="28" xfId="0" applyFont="1" applyFill="1" applyBorder="1" applyAlignment="1">
      <alignment horizontal="left" vertical="center" wrapText="1"/>
    </xf>
    <xf numFmtId="0" fontId="4" fillId="4" borderId="22" xfId="0" applyFont="1" applyFill="1" applyBorder="1" applyAlignment="1">
      <alignment horizontal="center" vertical="center" wrapText="1"/>
    </xf>
    <xf numFmtId="0" fontId="4" fillId="4" borderId="24" xfId="0" applyFont="1" applyFill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left" vertical="center" wrapText="1"/>
    </xf>
    <xf numFmtId="0" fontId="4" fillId="0" borderId="33" xfId="0" applyFont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4" fillId="0" borderId="32" xfId="0" applyFont="1" applyBorder="1" applyAlignment="1">
      <alignment horizontal="left" vertical="center" wrapText="1"/>
    </xf>
    <xf numFmtId="0" fontId="4" fillId="0" borderId="19" xfId="0" applyFont="1" applyBorder="1" applyAlignment="1">
      <alignment horizontal="left" vertical="center" wrapText="1"/>
    </xf>
    <xf numFmtId="0" fontId="4" fillId="0" borderId="20" xfId="0" applyFont="1" applyBorder="1" applyAlignment="1">
      <alignment horizontal="left" vertical="center" wrapText="1"/>
    </xf>
    <xf numFmtId="0" fontId="4" fillId="0" borderId="21" xfId="0" applyFont="1" applyBorder="1" applyAlignment="1">
      <alignment horizontal="left" vertical="center" wrapText="1"/>
    </xf>
    <xf numFmtId="0" fontId="4" fillId="5" borderId="26" xfId="0" applyFont="1" applyFill="1" applyBorder="1" applyAlignment="1">
      <alignment horizontal="center" vertical="center" wrapText="1"/>
    </xf>
    <xf numFmtId="0" fontId="4" fillId="0" borderId="18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4" fillId="0" borderId="27" xfId="0" applyFont="1" applyBorder="1" applyAlignment="1">
      <alignment horizontal="left" vertical="center" wrapText="1"/>
    </xf>
    <xf numFmtId="0" fontId="0" fillId="0" borderId="19" xfId="0" applyBorder="1" applyAlignment="1">
      <alignment vertical="top" wrapText="1"/>
    </xf>
    <xf numFmtId="0" fontId="0" fillId="0" borderId="20" xfId="0" applyBorder="1" applyAlignment="1">
      <alignment vertical="top" wrapText="1"/>
    </xf>
    <xf numFmtId="0" fontId="0" fillId="0" borderId="21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25" xfId="0" applyBorder="1" applyAlignment="1">
      <alignment vertical="top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left" vertical="center" wrapText="1"/>
    </xf>
    <xf numFmtId="0" fontId="4" fillId="0" borderId="12" xfId="0" applyFont="1" applyBorder="1" applyAlignment="1">
      <alignment horizontal="left" vertical="center" wrapText="1"/>
    </xf>
    <xf numFmtId="0" fontId="4" fillId="0" borderId="25" xfId="0" applyFont="1" applyBorder="1" applyAlignment="1">
      <alignment horizontal="left" vertical="center" wrapText="1"/>
    </xf>
    <xf numFmtId="3" fontId="12" fillId="3" borderId="1" xfId="0" applyNumberFormat="1" applyFont="1" applyFill="1" applyBorder="1" applyAlignment="1" applyProtection="1">
      <alignment horizontal="center" vertical="center"/>
      <protection locked="0"/>
    </xf>
    <xf numFmtId="20" fontId="4" fillId="0" borderId="22" xfId="0" applyNumberFormat="1" applyFont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12</xdr:row>
      <xdr:rowOff>19050</xdr:rowOff>
    </xdr:from>
    <xdr:to>
      <xdr:col>12</xdr:col>
      <xdr:colOff>0</xdr:colOff>
      <xdr:row>18</xdr:row>
      <xdr:rowOff>19050</xdr:rowOff>
    </xdr:to>
    <xdr:sp macro="[0]!clearSTATS" textlink="">
      <xdr:nvSpPr>
        <xdr:cNvPr id="2" name="Oval 1">
          <a:extLst>
            <a:ext uri="{FF2B5EF4-FFF2-40B4-BE49-F238E27FC236}">
              <a16:creationId xmlns:a16="http://schemas.microsoft.com/office/drawing/2014/main" id="{234C37E0-AB3B-0FB6-1F33-4A940192BAEB}"/>
            </a:ext>
          </a:extLst>
        </xdr:cNvPr>
        <xdr:cNvSpPr/>
      </xdr:nvSpPr>
      <xdr:spPr>
        <a:xfrm>
          <a:off x="11763375" y="2305050"/>
          <a:ext cx="1200150" cy="1162050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>
                <a:solidFill>
                  <a:srgbClr val="FFC000"/>
                </a:solidFill>
              </a:ln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</a:t>
          </a:r>
          <a:r>
            <a:rPr lang="en-US" sz="1100" b="0" cap="none" spc="0" baseline="0">
              <a:ln w="0">
                <a:solidFill>
                  <a:srgbClr val="FFC000"/>
                </a:solidFill>
              </a:ln>
              <a:solidFill>
                <a:srgbClr val="FFC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STATS</a:t>
          </a:r>
          <a:endParaRPr lang="en-US" sz="1100" b="0" cap="none" spc="0">
            <a:ln w="0">
              <a:solidFill>
                <a:srgbClr val="FFC000"/>
              </a:solidFill>
            </a:ln>
            <a:solidFill>
              <a:srgbClr val="FFC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28574</xdr:colOff>
      <xdr:row>21</xdr:row>
      <xdr:rowOff>19050</xdr:rowOff>
    </xdr:from>
    <xdr:to>
      <xdr:col>12</xdr:col>
      <xdr:colOff>0</xdr:colOff>
      <xdr:row>26</xdr:row>
      <xdr:rowOff>180975</xdr:rowOff>
    </xdr:to>
    <xdr:sp macro="[0]!clearDATA" textlink="">
      <xdr:nvSpPr>
        <xdr:cNvPr id="3" name="Oval 2">
          <a:extLst>
            <a:ext uri="{FF2B5EF4-FFF2-40B4-BE49-F238E27FC236}">
              <a16:creationId xmlns:a16="http://schemas.microsoft.com/office/drawing/2014/main" id="{1E4A4363-D7BF-3898-FB21-E253B48ED4FA}"/>
            </a:ext>
          </a:extLst>
        </xdr:cNvPr>
        <xdr:cNvSpPr/>
      </xdr:nvSpPr>
      <xdr:spPr>
        <a:xfrm>
          <a:off x="11772899" y="4038600"/>
          <a:ext cx="1190626" cy="1114425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n>
                <a:solidFill>
                  <a:srgbClr val="7030A0"/>
                </a:solidFill>
              </a:ln>
              <a:solidFill>
                <a:srgbClr val="7030A0"/>
              </a:solidFill>
            </a:rPr>
            <a:t>CLEAR</a:t>
          </a:r>
          <a:r>
            <a:rPr lang="en-US" sz="1100" baseline="0">
              <a:ln>
                <a:solidFill>
                  <a:srgbClr val="7030A0"/>
                </a:solidFill>
              </a:ln>
              <a:solidFill>
                <a:srgbClr val="7030A0"/>
              </a:solidFill>
            </a:rPr>
            <a:t> </a:t>
          </a:r>
        </a:p>
        <a:p>
          <a:pPr algn="ctr"/>
          <a:r>
            <a:rPr lang="en-US" sz="1100" baseline="0">
              <a:ln>
                <a:solidFill>
                  <a:srgbClr val="7030A0"/>
                </a:solidFill>
              </a:ln>
              <a:solidFill>
                <a:srgbClr val="7030A0"/>
              </a:solidFill>
            </a:rPr>
            <a:t>DATA SHEET</a:t>
          </a:r>
          <a:endParaRPr lang="en-US" sz="1100">
            <a:ln>
              <a:solidFill>
                <a:srgbClr val="7030A0"/>
              </a:solidFill>
            </a:ln>
            <a:solidFill>
              <a:srgbClr val="7030A0"/>
            </a:solidFill>
          </a:endParaRPr>
        </a:p>
      </xdr:txBody>
    </xdr:sp>
    <xdr:clientData/>
  </xdr:twoCellAnchor>
  <xdr:twoCellAnchor>
    <xdr:from>
      <xdr:col>9</xdr:col>
      <xdr:colOff>9525</xdr:colOff>
      <xdr:row>3</xdr:row>
      <xdr:rowOff>0</xdr:rowOff>
    </xdr:from>
    <xdr:to>
      <xdr:col>13</xdr:col>
      <xdr:colOff>114300</xdr:colOff>
      <xdr:row>6</xdr:row>
      <xdr:rowOff>123825</xdr:rowOff>
    </xdr:to>
    <xdr:sp macro="[0]!subCALL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F275957-A064-7FE4-5E82-5DD5C838762C}"/>
            </a:ext>
          </a:extLst>
        </xdr:cNvPr>
        <xdr:cNvSpPr/>
      </xdr:nvSpPr>
      <xdr:spPr>
        <a:xfrm>
          <a:off x="11144250" y="571500"/>
          <a:ext cx="2543175" cy="6953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 b="1">
              <a:solidFill>
                <a:schemeClr val="tx1">
                  <a:lumMod val="85000"/>
                  <a:lumOff val="15000"/>
                </a:schemeClr>
              </a:solidFill>
              <a:latin typeface="Aptos Black" panose="020F0502020204030204" pitchFamily="34" charset="0"/>
            </a:rPr>
            <a:t>COUNT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3206g\Desktop\Claim%20preparation%20macro%20NO%20v1.1.xlsm" TargetMode="External"/><Relationship Id="rId1" Type="http://schemas.openxmlformats.org/officeDocument/2006/relationships/externalLinkPath" Target="/Users/s3206g/Desktop/Claim%20preparation%20macro%20NO%20v1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"/>
      <sheetName val="Short Charge Contacts"/>
      <sheetName val="External CP Agent"/>
      <sheetName val="Correction Report"/>
      <sheetName val="Claim Database"/>
      <sheetName val="Claim Temp"/>
      <sheetName val="Parameters"/>
      <sheetName val="Filtering Level 1"/>
      <sheetName val="Filtering Level 2"/>
      <sheetName val="Checklists"/>
      <sheetName val="Chains"/>
      <sheetName val="Log"/>
      <sheetName val="Claims"/>
      <sheetName val="Events2"/>
      <sheetName val="Client Account Report"/>
      <sheetName val="Temp_Chain"/>
      <sheetName val="TempVis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ta"/>
  <dimension ref="A1:H254"/>
  <sheetViews>
    <sheetView workbookViewId="0">
      <selection activeCell="C4" sqref="C4"/>
    </sheetView>
  </sheetViews>
  <sheetFormatPr defaultRowHeight="15"/>
  <cols>
    <col min="1" max="1" width="16.42578125" customWidth="1"/>
    <col min="2" max="2" width="127" bestFit="1" customWidth="1"/>
    <col min="3" max="3" width="14.7109375" customWidth="1"/>
    <col min="4" max="4" width="9.42578125" bestFit="1" customWidth="1"/>
    <col min="5" max="5" width="27.140625" customWidth="1"/>
    <col min="6" max="6" width="29.28515625" customWidth="1"/>
    <col min="7" max="7" width="18.5703125" customWidth="1"/>
    <col min="8" max="8" width="9.42578125" bestFit="1" customWidth="1"/>
  </cols>
  <sheetData>
    <row r="1" spans="1:8" ht="15.75" thickBot="1">
      <c r="A1" s="51" t="s">
        <v>199</v>
      </c>
      <c r="B1" s="53" t="s">
        <v>200</v>
      </c>
      <c r="C1" s="6" t="s">
        <v>201</v>
      </c>
      <c r="D1" s="10" t="s">
        <v>4</v>
      </c>
      <c r="E1" s="11"/>
      <c r="F1" s="11"/>
      <c r="G1" s="11"/>
      <c r="H1" s="33"/>
    </row>
    <row r="2" spans="1:8" ht="15.75" thickBot="1">
      <c r="A2" s="52"/>
      <c r="B2" s="54"/>
      <c r="C2" s="7" t="s">
        <v>202</v>
      </c>
      <c r="D2" s="12" t="s">
        <v>5</v>
      </c>
      <c r="E2" s="13"/>
      <c r="F2" s="13"/>
      <c r="G2" s="13"/>
      <c r="H2" s="34"/>
    </row>
    <row r="3" spans="1:8" ht="15.75" thickBot="1">
      <c r="A3" s="51" t="s">
        <v>6</v>
      </c>
      <c r="B3" s="53" t="s">
        <v>203</v>
      </c>
      <c r="C3" s="10" t="s">
        <v>201</v>
      </c>
      <c r="D3" s="11"/>
      <c r="E3" s="11"/>
      <c r="F3" s="11"/>
      <c r="G3" s="11"/>
      <c r="H3" s="33"/>
    </row>
    <row r="4" spans="1:8" ht="15.75" thickBot="1">
      <c r="A4" s="52"/>
      <c r="B4" s="54"/>
      <c r="C4" s="12" t="s">
        <v>204</v>
      </c>
      <c r="D4" s="13"/>
      <c r="E4" s="13"/>
      <c r="F4" s="13"/>
      <c r="G4" s="13"/>
      <c r="H4" s="34"/>
    </row>
    <row r="5" spans="1:8" ht="17.25" thickBot="1">
      <c r="A5" s="51" t="s">
        <v>7</v>
      </c>
      <c r="B5" s="14"/>
      <c r="C5" s="6" t="s">
        <v>201</v>
      </c>
      <c r="D5" s="10"/>
      <c r="E5" s="11"/>
      <c r="F5" s="11"/>
      <c r="G5" s="11"/>
      <c r="H5" s="33"/>
    </row>
    <row r="6" spans="1:8" ht="15.75" thickBot="1">
      <c r="A6" s="52"/>
      <c r="B6" s="15" t="s">
        <v>205</v>
      </c>
      <c r="C6" s="7" t="s">
        <v>202</v>
      </c>
      <c r="D6" s="12"/>
      <c r="E6" s="13"/>
      <c r="F6" s="13"/>
      <c r="G6" s="13"/>
      <c r="H6" s="34"/>
    </row>
    <row r="7" spans="1:8" ht="17.25" thickBot="1">
      <c r="A7" s="51" t="s">
        <v>206</v>
      </c>
      <c r="B7" s="14"/>
      <c r="C7" s="6" t="s">
        <v>207</v>
      </c>
      <c r="D7" s="6" t="s">
        <v>201</v>
      </c>
      <c r="E7" s="10"/>
      <c r="F7" s="11"/>
      <c r="G7" s="11"/>
      <c r="H7" s="33"/>
    </row>
    <row r="8" spans="1:8" ht="15.75" thickBot="1">
      <c r="A8" s="66"/>
      <c r="B8" s="16" t="s">
        <v>208</v>
      </c>
      <c r="C8" s="7">
        <v>12345</v>
      </c>
      <c r="D8" s="7" t="s">
        <v>202</v>
      </c>
      <c r="E8" s="12"/>
      <c r="H8" s="35"/>
    </row>
    <row r="9" spans="1:8" ht="15.75" thickBot="1">
      <c r="A9" s="66"/>
      <c r="B9" s="17"/>
      <c r="C9" s="7">
        <v>67892</v>
      </c>
      <c r="D9" s="7" t="s">
        <v>202</v>
      </c>
      <c r="E9" s="12"/>
      <c r="H9" s="35"/>
    </row>
    <row r="10" spans="1:8" ht="15.75" thickBot="1">
      <c r="A10" s="52"/>
      <c r="B10" s="18"/>
      <c r="C10" s="7">
        <v>44567</v>
      </c>
      <c r="D10" s="7" t="s">
        <v>202</v>
      </c>
      <c r="E10" s="12"/>
      <c r="F10" s="13"/>
      <c r="G10" s="13"/>
      <c r="H10" s="34"/>
    </row>
    <row r="11" spans="1:8" ht="17.25" thickBot="1">
      <c r="A11" s="51" t="s">
        <v>209</v>
      </c>
      <c r="B11" s="14"/>
      <c r="C11" s="6" t="s">
        <v>201</v>
      </c>
      <c r="D11" s="6"/>
      <c r="E11" s="10" t="s">
        <v>210</v>
      </c>
      <c r="F11" s="11"/>
      <c r="G11" s="11"/>
      <c r="H11" s="33"/>
    </row>
    <row r="12" spans="1:8" ht="15.75" thickBot="1">
      <c r="A12" s="66"/>
      <c r="B12" s="16" t="s">
        <v>211</v>
      </c>
      <c r="C12" s="7"/>
      <c r="D12" s="7"/>
      <c r="E12" s="12" t="s">
        <v>212</v>
      </c>
      <c r="H12" s="35"/>
    </row>
    <row r="13" spans="1:8" ht="15.75" thickBot="1">
      <c r="A13" s="66"/>
      <c r="B13" s="17"/>
      <c r="C13" s="7"/>
      <c r="D13" s="7"/>
      <c r="E13" s="12" t="s">
        <v>213</v>
      </c>
      <c r="H13" s="35"/>
    </row>
    <row r="14" spans="1:8" ht="15.75" thickBot="1">
      <c r="A14" s="66"/>
      <c r="B14" s="17"/>
      <c r="C14" s="7"/>
      <c r="D14" s="7"/>
      <c r="E14" s="12" t="s">
        <v>214</v>
      </c>
      <c r="H14" s="35"/>
    </row>
    <row r="15" spans="1:8" ht="15.75" thickBot="1">
      <c r="A15" s="66"/>
      <c r="B15" s="17"/>
      <c r="C15" s="7"/>
      <c r="D15" s="7"/>
      <c r="E15" s="12" t="s">
        <v>215</v>
      </c>
      <c r="H15" s="35"/>
    </row>
    <row r="16" spans="1:8" ht="15.75" thickBot="1">
      <c r="A16" s="52"/>
      <c r="B16" s="18"/>
      <c r="C16" s="7"/>
      <c r="D16" s="7"/>
      <c r="E16" s="12" t="s">
        <v>216</v>
      </c>
      <c r="F16" s="13"/>
      <c r="G16" s="13"/>
      <c r="H16" s="34"/>
    </row>
    <row r="17" spans="1:8" ht="15.75" thickBot="1">
      <c r="A17" s="64" t="s">
        <v>8</v>
      </c>
      <c r="B17" s="53" t="s">
        <v>217</v>
      </c>
      <c r="C17" s="22" t="s">
        <v>218</v>
      </c>
      <c r="D17" s="11"/>
      <c r="E17" s="11"/>
      <c r="F17" s="11"/>
      <c r="G17" s="11"/>
      <c r="H17" s="33"/>
    </row>
    <row r="18" spans="1:8" ht="15.75" thickBot="1">
      <c r="A18" s="65"/>
      <c r="B18" s="54"/>
      <c r="C18" s="12" t="s">
        <v>204</v>
      </c>
      <c r="D18" s="13"/>
      <c r="E18" s="13"/>
      <c r="F18" s="13"/>
      <c r="G18" s="13"/>
      <c r="H18" s="34"/>
    </row>
    <row r="19" spans="1:8" ht="30.75" thickBot="1">
      <c r="A19" s="51" t="s">
        <v>9</v>
      </c>
      <c r="B19" s="14"/>
      <c r="C19" s="6"/>
      <c r="D19" s="6"/>
      <c r="E19" s="6" t="s">
        <v>210</v>
      </c>
      <c r="F19" s="6" t="s">
        <v>219</v>
      </c>
      <c r="G19" s="6" t="s">
        <v>220</v>
      </c>
      <c r="H19" s="10" t="s">
        <v>221</v>
      </c>
    </row>
    <row r="20" spans="1:8" ht="15.75" thickBot="1">
      <c r="A20" s="52"/>
      <c r="B20" s="15" t="s">
        <v>222</v>
      </c>
      <c r="C20" s="7" t="s">
        <v>204</v>
      </c>
      <c r="D20" s="7"/>
      <c r="E20" s="7" t="s">
        <v>223</v>
      </c>
      <c r="F20" s="7">
        <v>2388</v>
      </c>
      <c r="G20" s="7" t="s">
        <v>224</v>
      </c>
      <c r="H20" s="12" t="s">
        <v>225</v>
      </c>
    </row>
    <row r="21" spans="1:8" ht="15.75" thickBot="1">
      <c r="A21" s="51" t="s">
        <v>11</v>
      </c>
      <c r="B21" s="53" t="s">
        <v>226</v>
      </c>
      <c r="C21" s="21"/>
      <c r="D21" s="6"/>
      <c r="E21" s="22" t="s">
        <v>227</v>
      </c>
      <c r="F21" s="11"/>
      <c r="G21" s="11"/>
      <c r="H21" s="33"/>
    </row>
    <row r="22" spans="1:8" ht="15.75" thickBot="1">
      <c r="A22" s="52"/>
      <c r="B22" s="54"/>
      <c r="C22" s="7" t="s">
        <v>204</v>
      </c>
      <c r="D22" s="7" t="s">
        <v>13</v>
      </c>
      <c r="E22" s="12" t="s">
        <v>202</v>
      </c>
      <c r="F22" s="13"/>
      <c r="G22" s="13"/>
      <c r="H22" s="34"/>
    </row>
    <row r="23" spans="1:8" ht="15.75" thickBot="1">
      <c r="A23" s="51" t="s">
        <v>14</v>
      </c>
      <c r="B23" s="53" t="s">
        <v>228</v>
      </c>
      <c r="C23" s="6" t="s">
        <v>201</v>
      </c>
      <c r="D23" s="10" t="s">
        <v>4</v>
      </c>
      <c r="E23" s="11"/>
      <c r="F23" s="11"/>
      <c r="G23" s="11"/>
      <c r="H23" s="33"/>
    </row>
    <row r="24" spans="1:8" ht="15.75" thickBot="1">
      <c r="A24" s="52"/>
      <c r="B24" s="54"/>
      <c r="C24" s="7" t="s">
        <v>204</v>
      </c>
      <c r="D24" s="12" t="s">
        <v>15</v>
      </c>
      <c r="E24" s="13"/>
      <c r="F24" s="13"/>
      <c r="G24" s="13"/>
      <c r="H24" s="34"/>
    </row>
    <row r="25" spans="1:8" ht="15.75" thickBot="1">
      <c r="A25" s="91">
        <v>0.42986111111111114</v>
      </c>
      <c r="B25" s="53" t="s">
        <v>229</v>
      </c>
      <c r="C25" s="10" t="s">
        <v>201</v>
      </c>
      <c r="D25" s="11"/>
      <c r="E25" s="11"/>
      <c r="F25" s="11"/>
      <c r="G25" s="11"/>
      <c r="H25" s="33"/>
    </row>
    <row r="26" spans="1:8" ht="15.75" thickBot="1">
      <c r="A26" s="52"/>
      <c r="B26" s="54"/>
      <c r="C26" s="12" t="s">
        <v>204</v>
      </c>
      <c r="D26" s="13"/>
      <c r="E26" s="13"/>
      <c r="F26" s="13"/>
      <c r="G26" s="13"/>
      <c r="H26" s="34"/>
    </row>
    <row r="27" spans="1:8" ht="17.25" thickBot="1">
      <c r="A27" s="51" t="s">
        <v>16</v>
      </c>
      <c r="B27" s="14"/>
      <c r="C27" s="6" t="s">
        <v>201</v>
      </c>
      <c r="D27" s="6"/>
      <c r="E27" s="10" t="s">
        <v>230</v>
      </c>
      <c r="F27" s="11"/>
      <c r="G27" s="11"/>
      <c r="H27" s="33"/>
    </row>
    <row r="28" spans="1:8">
      <c r="A28" s="66"/>
      <c r="B28" s="16" t="s">
        <v>231</v>
      </c>
      <c r="C28" s="20" t="s">
        <v>204</v>
      </c>
      <c r="D28" s="20"/>
      <c r="E28" s="9" t="s">
        <v>17</v>
      </c>
      <c r="H28" s="35"/>
    </row>
    <row r="29" spans="1:8" ht="15.75" thickBot="1">
      <c r="A29" s="52"/>
      <c r="B29" s="15"/>
      <c r="C29" s="81"/>
      <c r="D29" s="82"/>
      <c r="E29" s="82"/>
      <c r="F29" s="82"/>
      <c r="G29" s="82"/>
      <c r="H29" s="83"/>
    </row>
    <row r="30" spans="1:8" ht="17.25" thickBot="1">
      <c r="A30" s="51" t="s">
        <v>18</v>
      </c>
      <c r="B30" s="14"/>
      <c r="C30" s="6" t="s">
        <v>232</v>
      </c>
      <c r="D30" s="6" t="s">
        <v>233</v>
      </c>
      <c r="E30" s="6" t="s">
        <v>234</v>
      </c>
      <c r="F30" s="10" t="s">
        <v>19</v>
      </c>
      <c r="G30" s="11"/>
      <c r="H30" s="33"/>
    </row>
    <row r="31" spans="1:8" ht="15.75" thickBot="1">
      <c r="A31" s="52"/>
      <c r="B31" s="16" t="s">
        <v>235</v>
      </c>
      <c r="C31" s="7" t="s">
        <v>204</v>
      </c>
      <c r="D31" s="7" t="s">
        <v>236</v>
      </c>
      <c r="E31" s="7" t="s">
        <v>237</v>
      </c>
      <c r="F31" s="12" t="s">
        <v>238</v>
      </c>
      <c r="G31" s="13"/>
      <c r="H31" s="34"/>
    </row>
    <row r="32" spans="1:8" ht="15.75" thickBot="1">
      <c r="A32" s="36"/>
      <c r="B32" s="23"/>
      <c r="C32" s="61"/>
      <c r="D32" s="62"/>
      <c r="E32" s="62"/>
      <c r="F32" s="62"/>
      <c r="G32" s="62"/>
      <c r="H32" s="63"/>
    </row>
    <row r="33" spans="1:8" ht="17.25" thickBot="1">
      <c r="A33" s="51" t="s">
        <v>18</v>
      </c>
      <c r="B33" s="14"/>
      <c r="C33" s="6" t="s">
        <v>201</v>
      </c>
      <c r="D33" s="6"/>
      <c r="E33" s="6" t="s">
        <v>234</v>
      </c>
      <c r="F33" s="10" t="s">
        <v>20</v>
      </c>
      <c r="G33" s="11"/>
      <c r="H33" s="33"/>
    </row>
    <row r="34" spans="1:8" ht="15.75" thickBot="1">
      <c r="A34" s="66"/>
      <c r="B34" s="16" t="s">
        <v>239</v>
      </c>
      <c r="C34" s="7" t="s">
        <v>204</v>
      </c>
      <c r="D34" s="7"/>
      <c r="E34" s="7" t="s">
        <v>240</v>
      </c>
      <c r="F34" s="12" t="s">
        <v>21</v>
      </c>
      <c r="H34" s="35"/>
    </row>
    <row r="35" spans="1:8" ht="15.75" thickBot="1">
      <c r="A35" s="66"/>
      <c r="B35" s="17"/>
      <c r="C35" s="7" t="s">
        <v>204</v>
      </c>
      <c r="D35" s="7"/>
      <c r="E35" s="7" t="s">
        <v>241</v>
      </c>
      <c r="F35" s="12" t="s">
        <v>22</v>
      </c>
      <c r="H35" s="35"/>
    </row>
    <row r="36" spans="1:8" ht="15.75" thickBot="1">
      <c r="A36" s="52"/>
      <c r="B36" s="18"/>
      <c r="C36" s="7" t="s">
        <v>204</v>
      </c>
      <c r="D36" s="7"/>
      <c r="E36" s="7" t="s">
        <v>242</v>
      </c>
      <c r="F36" s="12" t="s">
        <v>23</v>
      </c>
      <c r="G36" s="13"/>
      <c r="H36" s="34"/>
    </row>
    <row r="37" spans="1:8" ht="15.75" thickBot="1">
      <c r="A37" s="36"/>
      <c r="B37" s="23"/>
      <c r="C37" s="61"/>
      <c r="D37" s="62"/>
      <c r="E37" s="62"/>
      <c r="F37" s="62"/>
      <c r="G37" s="62"/>
      <c r="H37" s="63"/>
    </row>
    <row r="38" spans="1:8" ht="15.75" thickBot="1">
      <c r="A38" s="91">
        <v>0.44236111111111109</v>
      </c>
      <c r="B38" s="16" t="s">
        <v>243</v>
      </c>
      <c r="C38" s="6" t="s">
        <v>201</v>
      </c>
      <c r="D38" s="6"/>
      <c r="E38" s="6" t="s">
        <v>4</v>
      </c>
      <c r="F38" s="10" t="s">
        <v>24</v>
      </c>
      <c r="G38" s="11"/>
      <c r="H38" s="33"/>
    </row>
    <row r="39" spans="1:8">
      <c r="A39" s="66"/>
      <c r="B39" s="24"/>
      <c r="C39" s="20" t="s">
        <v>204</v>
      </c>
      <c r="D39" s="20"/>
      <c r="E39" s="20" t="s">
        <v>25</v>
      </c>
      <c r="F39" s="9" t="s">
        <v>26</v>
      </c>
      <c r="H39" s="35"/>
    </row>
    <row r="40" spans="1:8" ht="15.75" thickBot="1">
      <c r="A40" s="66"/>
      <c r="B40" s="17"/>
      <c r="C40" s="8" t="s">
        <v>27</v>
      </c>
      <c r="H40" s="35"/>
    </row>
    <row r="41" spans="1:8" ht="15.75" thickBot="1">
      <c r="A41" s="66"/>
      <c r="B41" s="17"/>
      <c r="C41" s="12" t="s">
        <v>237</v>
      </c>
      <c r="H41" s="35"/>
    </row>
    <row r="42" spans="1:8" ht="15.75" thickBot="1">
      <c r="A42" s="52"/>
      <c r="B42" s="18"/>
      <c r="C42" s="12" t="s">
        <v>244</v>
      </c>
      <c r="D42" s="13"/>
      <c r="E42" s="13"/>
      <c r="F42" s="13"/>
      <c r="G42" s="13"/>
      <c r="H42" s="34"/>
    </row>
    <row r="43" spans="1:8" ht="15.75" thickBot="1">
      <c r="A43" s="57" t="s">
        <v>28</v>
      </c>
      <c r="B43" s="53" t="s">
        <v>245</v>
      </c>
      <c r="C43" s="10" t="s">
        <v>201</v>
      </c>
      <c r="D43" s="11"/>
      <c r="E43" s="11"/>
      <c r="F43" s="11"/>
      <c r="G43" s="11"/>
      <c r="H43" s="33"/>
    </row>
    <row r="44" spans="1:8" ht="15.75" thickBot="1">
      <c r="A44" s="58"/>
      <c r="B44" s="54"/>
      <c r="C44" s="12" t="s">
        <v>204</v>
      </c>
      <c r="D44" s="13"/>
      <c r="E44" s="13"/>
      <c r="F44" s="13"/>
      <c r="G44" s="13"/>
      <c r="H44" s="34"/>
    </row>
    <row r="45" spans="1:8" ht="15.75" thickBot="1">
      <c r="A45" s="51" t="s">
        <v>29</v>
      </c>
      <c r="B45" s="53" t="s">
        <v>246</v>
      </c>
      <c r="C45" s="6" t="s">
        <v>201</v>
      </c>
      <c r="D45" s="6"/>
      <c r="E45" s="6" t="s">
        <v>4</v>
      </c>
      <c r="F45" s="10" t="s">
        <v>24</v>
      </c>
      <c r="G45" s="11"/>
      <c r="H45" s="33"/>
    </row>
    <row r="46" spans="1:8">
      <c r="A46" s="66"/>
      <c r="B46" s="67"/>
      <c r="C46" s="20" t="s">
        <v>204</v>
      </c>
      <c r="D46" s="20"/>
      <c r="E46" s="20" t="s">
        <v>30</v>
      </c>
      <c r="F46" s="9" t="s">
        <v>31</v>
      </c>
      <c r="H46" s="35"/>
    </row>
    <row r="47" spans="1:8" ht="15.75" thickBot="1">
      <c r="A47" s="66"/>
      <c r="B47" s="67"/>
      <c r="C47" s="8" t="s">
        <v>27</v>
      </c>
      <c r="H47" s="35"/>
    </row>
    <row r="48" spans="1:8" ht="15.75" thickBot="1">
      <c r="A48" s="66"/>
      <c r="B48" s="67"/>
      <c r="C48" s="12" t="s">
        <v>237</v>
      </c>
      <c r="H48" s="35"/>
    </row>
    <row r="49" spans="1:8" ht="15.75" thickBot="1">
      <c r="A49" s="66"/>
      <c r="B49" s="67"/>
      <c r="C49" s="12" t="s">
        <v>244</v>
      </c>
      <c r="H49" s="35"/>
    </row>
    <row r="50" spans="1:8" ht="15.75" thickBot="1">
      <c r="A50" s="66"/>
      <c r="B50" s="67"/>
      <c r="C50" s="12"/>
      <c r="H50" s="35"/>
    </row>
    <row r="51" spans="1:8" ht="15.75" thickBot="1">
      <c r="A51" s="52"/>
      <c r="B51" s="54"/>
      <c r="C51" s="12"/>
      <c r="D51" s="13"/>
      <c r="E51" s="13"/>
      <c r="F51" s="13"/>
      <c r="G51" s="13"/>
      <c r="H51" s="34"/>
    </row>
    <row r="52" spans="1:8" ht="15.75" thickBot="1">
      <c r="A52" s="51" t="s">
        <v>247</v>
      </c>
      <c r="B52" s="53" t="s">
        <v>248</v>
      </c>
      <c r="C52" s="6" t="s">
        <v>201</v>
      </c>
      <c r="D52" s="6"/>
      <c r="E52" s="10" t="s">
        <v>249</v>
      </c>
      <c r="F52" s="11"/>
      <c r="G52" s="11"/>
      <c r="H52" s="33"/>
    </row>
    <row r="53" spans="1:8" ht="15.75" thickBot="1">
      <c r="A53" s="52"/>
      <c r="B53" s="54"/>
      <c r="C53" s="7" t="s">
        <v>204</v>
      </c>
      <c r="D53" s="7"/>
      <c r="E53" s="12" t="s">
        <v>15</v>
      </c>
      <c r="F53" s="13"/>
      <c r="G53" s="13"/>
      <c r="H53" s="34"/>
    </row>
    <row r="54" spans="1:8" ht="15.75" thickBot="1">
      <c r="A54" s="51" t="s">
        <v>32</v>
      </c>
      <c r="B54" s="53" t="s">
        <v>250</v>
      </c>
      <c r="C54" s="6" t="s">
        <v>201</v>
      </c>
      <c r="D54" s="10"/>
      <c r="E54" s="11"/>
      <c r="F54" s="11"/>
      <c r="G54" s="11"/>
      <c r="H54" s="33"/>
    </row>
    <row r="55" spans="1:8" ht="15.75" thickBot="1">
      <c r="A55" s="52"/>
      <c r="B55" s="54"/>
      <c r="C55" s="7" t="s">
        <v>204</v>
      </c>
      <c r="D55" s="12"/>
      <c r="E55" s="13"/>
      <c r="F55" s="13"/>
      <c r="G55" s="13"/>
      <c r="H55" s="34"/>
    </row>
    <row r="56" spans="1:8" ht="15.75" thickBot="1">
      <c r="A56" s="51" t="s">
        <v>33</v>
      </c>
      <c r="B56" s="53" t="s">
        <v>251</v>
      </c>
      <c r="C56" s="6" t="s">
        <v>201</v>
      </c>
      <c r="D56" s="10"/>
      <c r="E56" s="11"/>
      <c r="F56" s="11"/>
      <c r="G56" s="11"/>
      <c r="H56" s="33"/>
    </row>
    <row r="57" spans="1:8">
      <c r="A57" s="66"/>
      <c r="B57" s="67"/>
      <c r="C57" s="20" t="s">
        <v>204</v>
      </c>
      <c r="D57" s="9"/>
      <c r="H57" s="35"/>
    </row>
    <row r="58" spans="1:8">
      <c r="A58" s="66"/>
      <c r="B58" s="67"/>
      <c r="C58" s="75"/>
      <c r="D58" s="76"/>
      <c r="E58" s="76"/>
      <c r="F58" s="76"/>
      <c r="G58" s="76"/>
      <c r="H58" s="77"/>
    </row>
    <row r="59" spans="1:8" ht="30.75" thickBot="1">
      <c r="A59" s="66"/>
      <c r="B59" s="67"/>
      <c r="C59" s="19" t="s">
        <v>252</v>
      </c>
      <c r="D59" s="19" t="s">
        <v>35</v>
      </c>
      <c r="E59" s="8" t="s">
        <v>253</v>
      </c>
      <c r="H59" s="35"/>
    </row>
    <row r="60" spans="1:8" ht="15.75" thickBot="1">
      <c r="A60" s="66"/>
      <c r="B60" s="67"/>
      <c r="C60" s="20" t="s">
        <v>254</v>
      </c>
      <c r="D60" s="20" t="s">
        <v>255</v>
      </c>
      <c r="E60" s="7" t="s">
        <v>204</v>
      </c>
      <c r="H60" s="35"/>
    </row>
    <row r="61" spans="1:8" ht="15.75" thickBot="1">
      <c r="A61" s="52"/>
      <c r="B61" s="54"/>
      <c r="C61" s="87"/>
      <c r="D61" s="88"/>
      <c r="E61" s="88"/>
      <c r="F61" s="88"/>
      <c r="G61" s="88"/>
      <c r="H61" s="89"/>
    </row>
    <row r="62" spans="1:8" ht="15.75" thickBot="1">
      <c r="A62" s="51" t="s">
        <v>36</v>
      </c>
      <c r="B62" s="53" t="s">
        <v>256</v>
      </c>
      <c r="C62" s="6" t="s">
        <v>201</v>
      </c>
      <c r="D62" s="10"/>
      <c r="E62" s="11"/>
      <c r="F62" s="11"/>
      <c r="G62" s="11"/>
      <c r="H62" s="33"/>
    </row>
    <row r="63" spans="1:8" ht="15.75" thickBot="1">
      <c r="A63" s="52"/>
      <c r="B63" s="54"/>
      <c r="C63" s="20" t="s">
        <v>204</v>
      </c>
      <c r="D63" s="12"/>
      <c r="E63" s="13"/>
      <c r="F63" s="13"/>
      <c r="G63" s="13"/>
      <c r="H63" s="34"/>
    </row>
    <row r="64" spans="1:8" ht="15.75" thickBot="1">
      <c r="A64" s="51" t="s">
        <v>37</v>
      </c>
      <c r="B64" s="53" t="s">
        <v>257</v>
      </c>
      <c r="C64" s="10" t="s">
        <v>201</v>
      </c>
      <c r="D64" s="11"/>
      <c r="E64" s="11"/>
      <c r="F64" s="11"/>
      <c r="G64" s="11"/>
      <c r="H64" s="33"/>
    </row>
    <row r="65" spans="1:8" ht="15.75" thickBot="1">
      <c r="A65" s="52"/>
      <c r="B65" s="54"/>
      <c r="C65" s="12" t="s">
        <v>204</v>
      </c>
      <c r="D65" s="13"/>
      <c r="E65" s="13"/>
      <c r="F65" s="13"/>
      <c r="G65" s="13"/>
      <c r="H65" s="34"/>
    </row>
    <row r="66" spans="1:8" ht="15.75" thickBot="1">
      <c r="A66" s="51" t="s">
        <v>38</v>
      </c>
      <c r="B66" s="16" t="s">
        <v>258</v>
      </c>
      <c r="C66" s="6" t="s">
        <v>201</v>
      </c>
      <c r="D66" s="10"/>
      <c r="E66" s="11"/>
      <c r="F66" s="11"/>
      <c r="G66" s="11"/>
      <c r="H66" s="33"/>
    </row>
    <row r="67" spans="1:8">
      <c r="A67" s="66"/>
      <c r="B67" s="25"/>
      <c r="C67" s="20" t="s">
        <v>204</v>
      </c>
      <c r="D67" s="9"/>
      <c r="H67" s="35"/>
    </row>
    <row r="68" spans="1:8">
      <c r="A68" s="66"/>
      <c r="B68" s="17"/>
      <c r="C68" s="68"/>
      <c r="D68" s="69"/>
      <c r="E68" s="69"/>
      <c r="F68" s="69"/>
      <c r="G68" s="69"/>
      <c r="H68" s="70"/>
    </row>
    <row r="69" spans="1:8" ht="30.75" thickBot="1">
      <c r="A69" s="66"/>
      <c r="B69" s="17"/>
      <c r="C69" s="19" t="s">
        <v>201</v>
      </c>
      <c r="D69" s="19"/>
      <c r="E69" s="19" t="s">
        <v>259</v>
      </c>
      <c r="F69" s="19" t="s">
        <v>260</v>
      </c>
      <c r="G69" s="19" t="s">
        <v>220</v>
      </c>
      <c r="H69" s="8" t="s">
        <v>261</v>
      </c>
    </row>
    <row r="70" spans="1:8" ht="15.75" thickBot="1">
      <c r="A70" s="66"/>
      <c r="B70" s="17"/>
      <c r="C70" s="26" t="s">
        <v>40</v>
      </c>
      <c r="D70" s="26" t="s">
        <v>204</v>
      </c>
      <c r="E70" s="26" t="s">
        <v>254</v>
      </c>
      <c r="F70" s="26">
        <v>6678</v>
      </c>
      <c r="G70" s="7" t="s">
        <v>262</v>
      </c>
      <c r="H70" s="27" t="s">
        <v>263</v>
      </c>
    </row>
    <row r="71" spans="1:8" ht="15.75" thickBot="1">
      <c r="A71" s="52"/>
      <c r="B71" s="18"/>
      <c r="C71" s="71"/>
      <c r="D71" s="72"/>
      <c r="E71" s="72"/>
      <c r="F71" s="72"/>
      <c r="G71" s="72"/>
      <c r="H71" s="73"/>
    </row>
    <row r="72" spans="1:8" ht="15.75" thickBot="1">
      <c r="A72" s="64" t="s">
        <v>38</v>
      </c>
      <c r="B72" s="53" t="s">
        <v>264</v>
      </c>
      <c r="C72" s="22" t="s">
        <v>218</v>
      </c>
      <c r="D72" s="11"/>
      <c r="E72" s="11"/>
      <c r="F72" s="11"/>
      <c r="G72" s="11"/>
      <c r="H72" s="33"/>
    </row>
    <row r="73" spans="1:8" ht="15.75" thickBot="1">
      <c r="A73" s="65"/>
      <c r="B73" s="54"/>
      <c r="C73" s="12" t="s">
        <v>204</v>
      </c>
      <c r="D73" s="13"/>
      <c r="E73" s="13"/>
      <c r="F73" s="13"/>
      <c r="G73" s="13"/>
      <c r="H73" s="34"/>
    </row>
    <row r="74" spans="1:8" ht="15.75" thickBot="1">
      <c r="A74" s="51" t="s">
        <v>41</v>
      </c>
      <c r="B74" s="53" t="s">
        <v>265</v>
      </c>
      <c r="C74" s="6" t="s">
        <v>201</v>
      </c>
      <c r="D74" s="6"/>
      <c r="E74" s="10" t="s">
        <v>266</v>
      </c>
      <c r="F74" s="11"/>
      <c r="G74" s="11"/>
      <c r="H74" s="33"/>
    </row>
    <row r="75" spans="1:8">
      <c r="A75" s="66"/>
      <c r="B75" s="67"/>
      <c r="C75" s="20" t="s">
        <v>204</v>
      </c>
      <c r="D75" s="20"/>
      <c r="E75" s="9" t="s">
        <v>42</v>
      </c>
      <c r="H75" s="35"/>
    </row>
    <row r="76" spans="1:8">
      <c r="A76" s="66"/>
      <c r="B76" s="67"/>
      <c r="C76" s="68"/>
      <c r="D76" s="69"/>
      <c r="E76" s="69"/>
      <c r="F76" s="69"/>
      <c r="G76" s="69"/>
      <c r="H76" s="70"/>
    </row>
    <row r="77" spans="1:8" ht="30.75" thickBot="1">
      <c r="A77" s="66"/>
      <c r="B77" s="67"/>
      <c r="C77" s="19" t="s">
        <v>201</v>
      </c>
      <c r="D77" s="19"/>
      <c r="E77" s="19" t="s">
        <v>259</v>
      </c>
      <c r="F77" s="19" t="s">
        <v>260</v>
      </c>
      <c r="G77" s="19" t="s">
        <v>220</v>
      </c>
      <c r="H77" s="8" t="s">
        <v>261</v>
      </c>
    </row>
    <row r="78" spans="1:8" ht="15.75" thickBot="1">
      <c r="A78" s="66"/>
      <c r="B78" s="67"/>
      <c r="C78" s="26" t="s">
        <v>40</v>
      </c>
      <c r="D78" s="26" t="s">
        <v>204</v>
      </c>
      <c r="E78" s="26" t="s">
        <v>254</v>
      </c>
      <c r="F78" s="26">
        <v>6676</v>
      </c>
      <c r="G78" s="7" t="s">
        <v>267</v>
      </c>
      <c r="H78" s="27" t="s">
        <v>268</v>
      </c>
    </row>
    <row r="79" spans="1:8" ht="15.75" thickBot="1">
      <c r="A79" s="52"/>
      <c r="B79" s="54"/>
      <c r="C79" s="71"/>
      <c r="D79" s="72"/>
      <c r="E79" s="72"/>
      <c r="F79" s="72"/>
      <c r="G79" s="72"/>
      <c r="H79" s="73"/>
    </row>
    <row r="80" spans="1:8" ht="15.75" thickBot="1">
      <c r="A80" s="51" t="s">
        <v>44</v>
      </c>
      <c r="B80" s="53" t="s">
        <v>269</v>
      </c>
      <c r="C80" s="10" t="s">
        <v>201</v>
      </c>
      <c r="D80" s="11"/>
      <c r="E80" s="11"/>
      <c r="F80" s="11"/>
      <c r="G80" s="11"/>
      <c r="H80" s="33"/>
    </row>
    <row r="81" spans="1:8">
      <c r="A81" s="55"/>
      <c r="B81" s="56"/>
      <c r="C81" s="9"/>
      <c r="D81" s="37"/>
      <c r="E81" s="37"/>
      <c r="F81" s="37"/>
      <c r="G81" s="37"/>
      <c r="H81" s="38"/>
    </row>
    <row r="82" spans="1:8">
      <c r="A82" s="5" t="s">
        <v>43</v>
      </c>
    </row>
    <row r="83" spans="1:8">
      <c r="A83" s="5" t="s">
        <v>43</v>
      </c>
    </row>
    <row r="84" spans="1:8" ht="30.75" thickBot="1">
      <c r="A84" s="31" t="s">
        <v>3</v>
      </c>
      <c r="B84" s="32" t="s">
        <v>270</v>
      </c>
      <c r="C84" s="84" t="s">
        <v>201</v>
      </c>
      <c r="D84" s="85"/>
      <c r="E84" s="85"/>
      <c r="F84" s="85"/>
      <c r="G84" s="85"/>
      <c r="H84" s="86"/>
    </row>
    <row r="85" spans="1:8" ht="15.75" thickBot="1">
      <c r="A85" s="51" t="s">
        <v>45</v>
      </c>
      <c r="B85" s="53" t="s">
        <v>271</v>
      </c>
      <c r="C85" s="6" t="s">
        <v>46</v>
      </c>
      <c r="D85" s="6" t="s">
        <v>201</v>
      </c>
      <c r="E85" s="6"/>
      <c r="F85" s="6" t="s">
        <v>272</v>
      </c>
      <c r="G85" s="10" t="s">
        <v>273</v>
      </c>
      <c r="H85" s="33"/>
    </row>
    <row r="86" spans="1:8" ht="15.75" thickBot="1">
      <c r="A86" s="66"/>
      <c r="B86" s="67"/>
      <c r="C86" s="7" t="s">
        <v>274</v>
      </c>
      <c r="D86" s="26" t="s">
        <v>204</v>
      </c>
      <c r="E86" s="7"/>
      <c r="F86" s="7" t="s">
        <v>47</v>
      </c>
      <c r="G86" s="12" t="s">
        <v>116</v>
      </c>
      <c r="H86" s="35"/>
    </row>
    <row r="87" spans="1:8" ht="15.75" thickBot="1">
      <c r="A87" s="52"/>
      <c r="B87" s="54"/>
      <c r="C87" s="7" t="s">
        <v>275</v>
      </c>
      <c r="D87" s="26" t="s">
        <v>204</v>
      </c>
      <c r="E87" s="7"/>
      <c r="F87" s="7" t="s">
        <v>48</v>
      </c>
      <c r="G87" s="12" t="s">
        <v>49</v>
      </c>
      <c r="H87" s="34"/>
    </row>
    <row r="88" spans="1:8" ht="15.75" thickBot="1">
      <c r="A88" s="51" t="s">
        <v>45</v>
      </c>
      <c r="B88" s="53" t="s">
        <v>276</v>
      </c>
      <c r="C88" s="6" t="s">
        <v>201</v>
      </c>
      <c r="D88" s="6"/>
      <c r="E88" s="10" t="s">
        <v>50</v>
      </c>
      <c r="F88" s="11"/>
      <c r="G88" s="11"/>
      <c r="H88" s="33"/>
    </row>
    <row r="89" spans="1:8">
      <c r="A89" s="66"/>
      <c r="B89" s="67"/>
      <c r="C89" s="26" t="s">
        <v>204</v>
      </c>
      <c r="D89" s="20"/>
      <c r="E89" s="9" t="s">
        <v>10</v>
      </c>
      <c r="H89" s="35"/>
    </row>
    <row r="90" spans="1:8" ht="15.75" thickBot="1">
      <c r="A90" s="66"/>
      <c r="B90" s="54"/>
      <c r="C90" s="75"/>
      <c r="D90" s="76"/>
      <c r="E90" s="76"/>
      <c r="F90" s="76"/>
      <c r="G90" s="76"/>
      <c r="H90" s="77"/>
    </row>
    <row r="91" spans="1:8" ht="15.75" thickBot="1">
      <c r="A91" s="66"/>
      <c r="B91" s="24"/>
      <c r="C91" s="19" t="s">
        <v>201</v>
      </c>
      <c r="D91" s="19"/>
      <c r="E91" s="19" t="s">
        <v>260</v>
      </c>
      <c r="F91" s="19" t="s">
        <v>277</v>
      </c>
      <c r="G91" s="8" t="s">
        <v>51</v>
      </c>
      <c r="H91" s="35"/>
    </row>
    <row r="92" spans="1:8" ht="15.75" thickBot="1">
      <c r="A92" s="66"/>
      <c r="B92" s="17"/>
      <c r="C92" s="7" t="s">
        <v>204</v>
      </c>
      <c r="D92" s="7"/>
      <c r="E92" s="7">
        <v>68176</v>
      </c>
      <c r="F92" s="7">
        <v>22200220</v>
      </c>
      <c r="G92" s="12" t="s">
        <v>52</v>
      </c>
      <c r="H92" s="35"/>
    </row>
    <row r="93" spans="1:8" ht="15.75" thickBot="1">
      <c r="A93" s="52"/>
      <c r="B93" s="18"/>
      <c r="C93" s="7" t="s">
        <v>204</v>
      </c>
      <c r="D93" s="7"/>
      <c r="E93" s="7" t="s">
        <v>278</v>
      </c>
      <c r="F93" s="7">
        <v>22200222</v>
      </c>
      <c r="G93" s="12" t="s">
        <v>52</v>
      </c>
      <c r="H93" s="34"/>
    </row>
    <row r="94" spans="1:8" ht="15.75" thickBot="1">
      <c r="A94" s="51" t="s">
        <v>53</v>
      </c>
      <c r="B94" s="53" t="s">
        <v>279</v>
      </c>
      <c r="C94" s="6" t="s">
        <v>280</v>
      </c>
      <c r="D94" s="6" t="s">
        <v>281</v>
      </c>
      <c r="E94" s="10" t="s">
        <v>282</v>
      </c>
      <c r="F94" s="11"/>
      <c r="G94" s="11"/>
      <c r="H94" s="33"/>
    </row>
    <row r="95" spans="1:8" ht="15.75" thickBot="1">
      <c r="A95" s="52"/>
      <c r="B95" s="54"/>
      <c r="C95" s="7" t="s">
        <v>204</v>
      </c>
      <c r="D95" s="7"/>
      <c r="E95" s="12" t="s">
        <v>47</v>
      </c>
      <c r="F95" s="13"/>
      <c r="G95" s="13"/>
      <c r="H95" s="34"/>
    </row>
    <row r="96" spans="1:8" ht="39" thickBot="1">
      <c r="A96" s="51" t="s">
        <v>54</v>
      </c>
      <c r="B96" s="53" t="s">
        <v>283</v>
      </c>
      <c r="C96" s="6" t="s">
        <v>201</v>
      </c>
      <c r="D96" s="6" t="s">
        <v>281</v>
      </c>
      <c r="E96" s="6" t="s">
        <v>284</v>
      </c>
      <c r="F96" s="6" t="s">
        <v>260</v>
      </c>
      <c r="G96" s="6" t="s">
        <v>285</v>
      </c>
      <c r="H96" s="10" t="s">
        <v>286</v>
      </c>
    </row>
    <row r="97" spans="1:8" ht="15.75" thickBot="1">
      <c r="A97" s="66"/>
      <c r="B97" s="67"/>
      <c r="C97" s="20" t="s">
        <v>204</v>
      </c>
      <c r="D97" s="20"/>
      <c r="E97" s="20" t="s">
        <v>287</v>
      </c>
      <c r="F97" s="20">
        <v>57674</v>
      </c>
      <c r="G97" s="7" t="s">
        <v>288</v>
      </c>
      <c r="H97" s="9" t="s">
        <v>117</v>
      </c>
    </row>
    <row r="98" spans="1:8" ht="15.75" thickBot="1">
      <c r="A98" s="66"/>
      <c r="B98" s="67"/>
      <c r="C98" s="20" t="s">
        <v>204</v>
      </c>
      <c r="D98" s="20"/>
      <c r="E98" s="20" t="s">
        <v>287</v>
      </c>
      <c r="F98" s="20">
        <v>57678</v>
      </c>
      <c r="G98" s="7" t="s">
        <v>289</v>
      </c>
      <c r="H98" s="9" t="s">
        <v>238</v>
      </c>
    </row>
    <row r="99" spans="1:8" ht="15.75" thickBot="1">
      <c r="A99" s="66"/>
      <c r="B99" s="67"/>
      <c r="C99" s="20" t="s">
        <v>204</v>
      </c>
      <c r="D99" s="20"/>
      <c r="E99" s="20" t="s">
        <v>287</v>
      </c>
      <c r="F99" s="20">
        <v>57679</v>
      </c>
      <c r="G99" s="7" t="s">
        <v>290</v>
      </c>
      <c r="H99" s="9" t="s">
        <v>238</v>
      </c>
    </row>
    <row r="100" spans="1:8" ht="15.75" thickBot="1">
      <c r="A100" s="66"/>
      <c r="B100" s="67"/>
      <c r="C100" s="20" t="s">
        <v>204</v>
      </c>
      <c r="D100" s="20"/>
      <c r="E100" s="20" t="s">
        <v>287</v>
      </c>
      <c r="F100" s="20" t="s">
        <v>291</v>
      </c>
      <c r="G100" s="7" t="s">
        <v>262</v>
      </c>
      <c r="H100" s="9" t="s">
        <v>118</v>
      </c>
    </row>
    <row r="101" spans="1:8" ht="15.75" thickBot="1">
      <c r="A101" s="52"/>
      <c r="B101" s="54"/>
      <c r="C101" s="71"/>
      <c r="D101" s="72"/>
      <c r="E101" s="72"/>
      <c r="F101" s="72"/>
      <c r="G101" s="72"/>
      <c r="H101" s="73"/>
    </row>
    <row r="102" spans="1:8" ht="15.75" thickBot="1">
      <c r="A102" s="36"/>
      <c r="B102" s="23"/>
      <c r="C102" s="61"/>
      <c r="D102" s="62"/>
      <c r="E102" s="62"/>
      <c r="F102" s="62"/>
      <c r="G102" s="62"/>
      <c r="H102" s="63"/>
    </row>
    <row r="103" spans="1:8" ht="30.75" thickBot="1">
      <c r="A103" s="51" t="s">
        <v>55</v>
      </c>
      <c r="B103" s="53" t="s">
        <v>292</v>
      </c>
      <c r="C103" s="6" t="s">
        <v>201</v>
      </c>
      <c r="D103" s="6"/>
      <c r="E103" s="6" t="s">
        <v>259</v>
      </c>
      <c r="F103" s="6" t="s">
        <v>260</v>
      </c>
      <c r="G103" s="6" t="s">
        <v>285</v>
      </c>
      <c r="H103" s="10" t="s">
        <v>20</v>
      </c>
    </row>
    <row r="104" spans="1:8" ht="15.75" thickBot="1">
      <c r="A104" s="66"/>
      <c r="B104" s="67"/>
      <c r="C104" s="20" t="s">
        <v>204</v>
      </c>
      <c r="D104" s="7"/>
      <c r="E104" s="7" t="s">
        <v>293</v>
      </c>
      <c r="F104" s="20">
        <v>57666</v>
      </c>
      <c r="G104" s="7" t="s">
        <v>294</v>
      </c>
      <c r="H104" s="12" t="s">
        <v>21</v>
      </c>
    </row>
    <row r="105" spans="1:8" ht="15.75" thickBot="1">
      <c r="A105" s="66"/>
      <c r="B105" s="67"/>
      <c r="C105" s="20" t="s">
        <v>204</v>
      </c>
      <c r="D105" s="7"/>
      <c r="E105" s="7" t="s">
        <v>293</v>
      </c>
      <c r="F105" s="20">
        <v>12345</v>
      </c>
      <c r="G105" s="7" t="s">
        <v>295</v>
      </c>
      <c r="H105" s="12" t="s">
        <v>23</v>
      </c>
    </row>
    <row r="106" spans="1:8" ht="15.75" thickBot="1">
      <c r="A106" s="52"/>
      <c r="B106" s="54"/>
      <c r="C106" s="20" t="s">
        <v>204</v>
      </c>
      <c r="D106" s="7"/>
      <c r="E106" s="7" t="s">
        <v>293</v>
      </c>
      <c r="F106" s="20">
        <v>45678</v>
      </c>
      <c r="G106" s="7" t="s">
        <v>296</v>
      </c>
      <c r="H106" s="12" t="s">
        <v>23</v>
      </c>
    </row>
    <row r="107" spans="1:8" ht="15.75" thickBot="1">
      <c r="A107" s="36"/>
      <c r="B107" s="23"/>
      <c r="C107" s="61"/>
      <c r="D107" s="62"/>
      <c r="E107" s="62"/>
      <c r="F107" s="62"/>
      <c r="G107" s="62"/>
      <c r="H107" s="63"/>
    </row>
    <row r="108" spans="1:8" ht="15.75" thickBot="1">
      <c r="A108" s="51" t="s">
        <v>56</v>
      </c>
      <c r="B108" s="53" t="s">
        <v>297</v>
      </c>
      <c r="C108" s="6" t="s">
        <v>201</v>
      </c>
      <c r="D108" s="6"/>
      <c r="E108" s="6" t="s">
        <v>259</v>
      </c>
      <c r="F108" s="6" t="s">
        <v>260</v>
      </c>
      <c r="G108" s="23" t="s">
        <v>298</v>
      </c>
      <c r="H108" s="10" t="s">
        <v>57</v>
      </c>
    </row>
    <row r="109" spans="1:8" ht="15.75" thickBot="1">
      <c r="A109" s="66"/>
      <c r="B109" s="67"/>
      <c r="C109" s="20" t="s">
        <v>204</v>
      </c>
      <c r="D109" s="20"/>
      <c r="E109" s="7" t="s">
        <v>293</v>
      </c>
      <c r="F109" s="20">
        <v>12349</v>
      </c>
      <c r="G109" s="7" t="s">
        <v>295</v>
      </c>
      <c r="H109" s="9" t="s">
        <v>299</v>
      </c>
    </row>
    <row r="110" spans="1:8" ht="15.75" thickBot="1">
      <c r="A110" s="66"/>
      <c r="B110" s="67"/>
      <c r="C110" s="19" t="s">
        <v>201</v>
      </c>
      <c r="D110" s="19"/>
      <c r="E110" s="19" t="s">
        <v>259</v>
      </c>
      <c r="F110" s="19" t="s">
        <v>260</v>
      </c>
      <c r="G110" s="39" t="s">
        <v>300</v>
      </c>
      <c r="H110" s="8" t="s">
        <v>57</v>
      </c>
    </row>
    <row r="111" spans="1:8" ht="15.75" thickBot="1">
      <c r="A111" s="66"/>
      <c r="B111" s="67"/>
      <c r="C111" s="20" t="s">
        <v>204</v>
      </c>
      <c r="D111" s="20"/>
      <c r="E111" s="7" t="s">
        <v>293</v>
      </c>
      <c r="F111" s="20">
        <v>12345</v>
      </c>
      <c r="G111" s="7" t="s">
        <v>295</v>
      </c>
      <c r="H111" s="9" t="s">
        <v>299</v>
      </c>
    </row>
    <row r="112" spans="1:8" ht="15.75" thickBot="1">
      <c r="A112" s="52"/>
      <c r="B112" s="54"/>
      <c r="C112" s="71"/>
      <c r="D112" s="72"/>
      <c r="E112" s="72"/>
      <c r="F112" s="72"/>
      <c r="G112" s="72"/>
      <c r="H112" s="73"/>
    </row>
    <row r="113" spans="1:8" ht="15.75" thickBot="1">
      <c r="A113" s="64" t="s">
        <v>58</v>
      </c>
      <c r="B113" s="53" t="s">
        <v>301</v>
      </c>
      <c r="C113" s="22" t="s">
        <v>218</v>
      </c>
      <c r="D113" s="11"/>
      <c r="E113" s="11"/>
      <c r="F113" s="11"/>
      <c r="G113" s="11"/>
      <c r="H113" s="33"/>
    </row>
    <row r="114" spans="1:8" ht="15.75" thickBot="1">
      <c r="A114" s="65"/>
      <c r="B114" s="54"/>
      <c r="C114" s="12" t="s">
        <v>204</v>
      </c>
      <c r="D114" s="13"/>
      <c r="E114" s="13"/>
      <c r="F114" s="13"/>
      <c r="G114" s="13"/>
      <c r="H114" s="34"/>
    </row>
    <row r="115" spans="1:8" ht="24" thickBot="1">
      <c r="A115" s="57" t="s">
        <v>59</v>
      </c>
      <c r="B115" s="53" t="s">
        <v>302</v>
      </c>
      <c r="C115" s="6" t="s">
        <v>201</v>
      </c>
      <c r="D115" s="10" t="s">
        <v>303</v>
      </c>
      <c r="E115" s="11"/>
      <c r="F115" s="11"/>
      <c r="G115" s="11"/>
      <c r="H115" s="33"/>
    </row>
    <row r="116" spans="1:8">
      <c r="A116" s="74"/>
      <c r="B116" s="67"/>
      <c r="C116" s="20" t="s">
        <v>204</v>
      </c>
      <c r="D116" s="9" t="s">
        <v>15</v>
      </c>
      <c r="H116" s="35"/>
    </row>
    <row r="117" spans="1:8">
      <c r="A117" s="74"/>
      <c r="B117" s="67"/>
      <c r="C117" s="75"/>
      <c r="D117" s="76"/>
      <c r="E117" s="76"/>
      <c r="F117" s="76"/>
      <c r="G117" s="76"/>
      <c r="H117" s="77"/>
    </row>
    <row r="118" spans="1:8">
      <c r="A118" s="74"/>
      <c r="B118" s="67"/>
      <c r="C118" s="68"/>
      <c r="D118" s="69"/>
      <c r="E118" s="69"/>
      <c r="F118" s="69"/>
      <c r="G118" s="69"/>
      <c r="H118" s="70"/>
    </row>
    <row r="119" spans="1:8" ht="30.75" thickBot="1">
      <c r="A119" s="74"/>
      <c r="B119" s="67"/>
      <c r="C119" s="19" t="s">
        <v>232</v>
      </c>
      <c r="D119" s="19" t="s">
        <v>233</v>
      </c>
      <c r="E119" s="19" t="s">
        <v>259</v>
      </c>
      <c r="F119" s="19" t="s">
        <v>260</v>
      </c>
      <c r="G119" s="19" t="s">
        <v>220</v>
      </c>
      <c r="H119" s="8" t="s">
        <v>60</v>
      </c>
    </row>
    <row r="120" spans="1:8">
      <c r="A120" s="74"/>
      <c r="B120" s="67"/>
      <c r="C120" s="29"/>
      <c r="D120" s="29"/>
      <c r="E120" s="29"/>
      <c r="F120" s="29"/>
      <c r="G120" s="29"/>
      <c r="H120" s="30"/>
    </row>
    <row r="121" spans="1:8" ht="15.75" thickBot="1">
      <c r="A121" s="58"/>
      <c r="B121" s="54"/>
      <c r="C121" s="71"/>
      <c r="D121" s="72"/>
      <c r="E121" s="72"/>
      <c r="F121" s="72"/>
      <c r="G121" s="72"/>
      <c r="H121" s="73"/>
    </row>
    <row r="122" spans="1:8" ht="15.75" thickBot="1">
      <c r="A122" s="36"/>
      <c r="B122" s="23"/>
      <c r="C122" s="61"/>
      <c r="D122" s="62"/>
      <c r="E122" s="62"/>
      <c r="F122" s="62"/>
      <c r="G122" s="62"/>
      <c r="H122" s="63"/>
    </row>
    <row r="123" spans="1:8" ht="15.75" thickBot="1">
      <c r="A123" s="51" t="s">
        <v>61</v>
      </c>
      <c r="B123" s="53" t="s">
        <v>304</v>
      </c>
      <c r="C123" s="6" t="s">
        <v>280</v>
      </c>
      <c r="D123" s="6"/>
      <c r="E123" s="6" t="s">
        <v>260</v>
      </c>
      <c r="F123" s="10" t="s">
        <v>62</v>
      </c>
      <c r="G123" s="11"/>
      <c r="H123" s="33"/>
    </row>
    <row r="124" spans="1:8" ht="15.75" thickBot="1">
      <c r="A124" s="66"/>
      <c r="B124" s="67"/>
      <c r="C124" s="7" t="s">
        <v>204</v>
      </c>
      <c r="D124" s="7"/>
      <c r="E124" s="7" t="s">
        <v>305</v>
      </c>
      <c r="F124" s="12" t="s">
        <v>306</v>
      </c>
      <c r="H124" s="35"/>
    </row>
    <row r="125" spans="1:8" ht="15.75" thickBot="1">
      <c r="A125" s="66"/>
      <c r="B125" s="67"/>
      <c r="C125" s="7" t="s">
        <v>204</v>
      </c>
      <c r="D125" s="7"/>
      <c r="E125" s="7" t="s">
        <v>305</v>
      </c>
      <c r="F125" s="12" t="s">
        <v>306</v>
      </c>
      <c r="H125" s="35"/>
    </row>
    <row r="126" spans="1:8" ht="15.75" thickBot="1">
      <c r="A126" s="52"/>
      <c r="B126" s="54"/>
      <c r="C126" s="7" t="s">
        <v>204</v>
      </c>
      <c r="D126" s="7"/>
      <c r="E126" s="7" t="s">
        <v>305</v>
      </c>
      <c r="F126" s="12" t="s">
        <v>306</v>
      </c>
      <c r="G126" s="13"/>
      <c r="H126" s="34"/>
    </row>
    <row r="127" spans="1:8" ht="15.75" thickBot="1">
      <c r="A127" s="57" t="s">
        <v>63</v>
      </c>
      <c r="B127" s="53" t="s">
        <v>307</v>
      </c>
      <c r="C127" s="10" t="s">
        <v>201</v>
      </c>
      <c r="D127" s="11"/>
      <c r="E127" s="11"/>
      <c r="F127" s="11"/>
      <c r="G127" s="11"/>
      <c r="H127" s="33"/>
    </row>
    <row r="128" spans="1:8" ht="15.75" thickBot="1">
      <c r="A128" s="58"/>
      <c r="B128" s="54"/>
      <c r="C128" s="12" t="s">
        <v>202</v>
      </c>
      <c r="D128" s="13"/>
      <c r="E128" s="13"/>
      <c r="F128" s="13"/>
      <c r="G128" s="13"/>
      <c r="H128" s="34"/>
    </row>
    <row r="129" spans="1:8" ht="15.75" thickBot="1">
      <c r="A129" s="57" t="s">
        <v>63</v>
      </c>
      <c r="B129" s="53" t="s">
        <v>308</v>
      </c>
      <c r="C129" s="6" t="s">
        <v>280</v>
      </c>
      <c r="D129" s="6"/>
      <c r="E129" s="10" t="s">
        <v>64</v>
      </c>
      <c r="F129" s="11"/>
      <c r="G129" s="11"/>
      <c r="H129" s="33"/>
    </row>
    <row r="130" spans="1:8" ht="15.75" thickBot="1">
      <c r="A130" s="58"/>
      <c r="B130" s="54"/>
      <c r="C130" s="7" t="s">
        <v>204</v>
      </c>
      <c r="D130" s="7"/>
      <c r="E130" s="12" t="s">
        <v>65</v>
      </c>
      <c r="F130" s="13"/>
      <c r="G130" s="13"/>
      <c r="H130" s="34"/>
    </row>
    <row r="131" spans="1:8" ht="15.75" thickBot="1">
      <c r="A131" s="57" t="s">
        <v>63</v>
      </c>
      <c r="B131" s="53" t="s">
        <v>309</v>
      </c>
      <c r="C131" s="6" t="s">
        <v>280</v>
      </c>
      <c r="D131" s="6"/>
      <c r="E131" s="10" t="s">
        <v>64</v>
      </c>
      <c r="F131" s="11"/>
      <c r="G131" s="11"/>
      <c r="H131" s="33"/>
    </row>
    <row r="132" spans="1:8" ht="15.75" thickBot="1">
      <c r="A132" s="58"/>
      <c r="B132" s="54"/>
      <c r="C132" s="7" t="s">
        <v>204</v>
      </c>
      <c r="D132" s="7"/>
      <c r="E132" s="12" t="s">
        <v>66</v>
      </c>
      <c r="F132" s="13"/>
      <c r="G132" s="13"/>
      <c r="H132" s="34"/>
    </row>
    <row r="133" spans="1:8" ht="15.75" thickBot="1">
      <c r="A133" s="57" t="s">
        <v>67</v>
      </c>
      <c r="B133" s="53" t="s">
        <v>310</v>
      </c>
      <c r="C133" s="6" t="s">
        <v>280</v>
      </c>
      <c r="D133" s="6"/>
      <c r="E133" s="10" t="s">
        <v>249</v>
      </c>
      <c r="F133" s="11"/>
      <c r="G133" s="11"/>
      <c r="H133" s="33"/>
    </row>
    <row r="134" spans="1:8" ht="15.75" thickBot="1">
      <c r="A134" s="74"/>
      <c r="B134" s="67"/>
      <c r="C134" s="7" t="s">
        <v>204</v>
      </c>
      <c r="D134" s="20"/>
      <c r="E134" s="9" t="s">
        <v>68</v>
      </c>
      <c r="H134" s="35"/>
    </row>
    <row r="135" spans="1:8" ht="15.75" thickBot="1">
      <c r="A135" s="58"/>
      <c r="B135" s="54"/>
      <c r="C135" s="81"/>
      <c r="D135" s="82"/>
      <c r="E135" s="82"/>
      <c r="F135" s="82"/>
      <c r="G135" s="82"/>
      <c r="H135" s="83"/>
    </row>
    <row r="136" spans="1:8" ht="15.75" thickBot="1">
      <c r="A136" s="51" t="s">
        <v>69</v>
      </c>
      <c r="B136" s="59"/>
      <c r="C136" s="10" t="s">
        <v>201</v>
      </c>
      <c r="D136" s="11"/>
      <c r="E136" s="11"/>
      <c r="F136" s="11"/>
      <c r="G136" s="11"/>
      <c r="H136" s="33"/>
    </row>
    <row r="137" spans="1:8" ht="15.75" thickBot="1">
      <c r="A137" s="52"/>
      <c r="B137" s="60"/>
      <c r="C137" s="40"/>
      <c r="D137" s="13"/>
      <c r="E137" s="13"/>
      <c r="F137" s="13"/>
      <c r="G137" s="13"/>
      <c r="H137" s="34"/>
    </row>
    <row r="138" spans="1:8" ht="15.75" thickBot="1">
      <c r="A138" s="51" t="s">
        <v>70</v>
      </c>
      <c r="B138" s="53" t="s">
        <v>311</v>
      </c>
      <c r="C138" s="10" t="s">
        <v>201</v>
      </c>
      <c r="D138" s="11"/>
      <c r="E138" s="11"/>
      <c r="F138" s="11"/>
      <c r="G138" s="11"/>
      <c r="H138" s="33"/>
    </row>
    <row r="139" spans="1:8" ht="15.75" thickBot="1">
      <c r="A139" s="52"/>
      <c r="B139" s="54"/>
      <c r="C139" s="12" t="s">
        <v>204</v>
      </c>
      <c r="D139" s="13"/>
      <c r="E139" s="13"/>
      <c r="F139" s="13"/>
      <c r="G139" s="13"/>
      <c r="H139" s="34"/>
    </row>
    <row r="140" spans="1:8" ht="15.75" thickBot="1">
      <c r="A140" s="57" t="s">
        <v>71</v>
      </c>
      <c r="B140" s="53" t="s">
        <v>312</v>
      </c>
      <c r="C140" s="6" t="s">
        <v>280</v>
      </c>
      <c r="D140" s="6"/>
      <c r="E140" s="10" t="s">
        <v>266</v>
      </c>
      <c r="F140" s="11"/>
      <c r="G140" s="11"/>
      <c r="H140" s="33"/>
    </row>
    <row r="141" spans="1:8">
      <c r="A141" s="74"/>
      <c r="B141" s="67"/>
      <c r="C141" s="20" t="s">
        <v>204</v>
      </c>
      <c r="D141" s="20"/>
      <c r="E141" s="9" t="s">
        <v>49</v>
      </c>
      <c r="H141" s="35"/>
    </row>
    <row r="142" spans="1:8" ht="15.75" thickBot="1">
      <c r="A142" s="74"/>
      <c r="B142" s="54"/>
      <c r="C142" s="75"/>
      <c r="D142" s="76"/>
      <c r="E142" s="76"/>
      <c r="F142" s="76"/>
      <c r="G142" s="76"/>
      <c r="H142" s="77"/>
    </row>
    <row r="143" spans="1:8">
      <c r="A143" s="74"/>
      <c r="B143" s="17"/>
      <c r="C143" s="68" t="s">
        <v>39</v>
      </c>
      <c r="D143" s="69"/>
      <c r="E143" s="69"/>
      <c r="F143" s="69"/>
      <c r="G143" s="69"/>
      <c r="H143" s="70"/>
    </row>
    <row r="144" spans="1:8" ht="30.75" thickBot="1">
      <c r="A144" s="74"/>
      <c r="B144" s="17"/>
      <c r="C144" s="19" t="s">
        <v>201</v>
      </c>
      <c r="D144" s="19" t="s">
        <v>281</v>
      </c>
      <c r="E144" s="19" t="s">
        <v>313</v>
      </c>
      <c r="F144" s="19" t="s">
        <v>260</v>
      </c>
      <c r="G144" s="19" t="s">
        <v>285</v>
      </c>
      <c r="H144" s="8" t="s">
        <v>60</v>
      </c>
    </row>
    <row r="145" spans="1:8" ht="15.75" thickBot="1">
      <c r="A145" s="58"/>
      <c r="B145" s="18"/>
      <c r="C145" s="28"/>
      <c r="D145" s="28"/>
      <c r="E145" s="28"/>
      <c r="F145" s="28"/>
      <c r="G145" s="28"/>
      <c r="H145" s="40"/>
    </row>
    <row r="146" spans="1:8" ht="15.75" thickBot="1">
      <c r="A146" s="36"/>
      <c r="B146" s="23"/>
      <c r="C146" s="61"/>
      <c r="D146" s="62"/>
      <c r="E146" s="62"/>
      <c r="F146" s="62"/>
      <c r="G146" s="62"/>
      <c r="H146" s="63"/>
    </row>
    <row r="147" spans="1:8" ht="39" thickBot="1">
      <c r="A147" s="51" t="s">
        <v>72</v>
      </c>
      <c r="B147" s="53" t="s">
        <v>314</v>
      </c>
      <c r="C147" s="6" t="s">
        <v>201</v>
      </c>
      <c r="D147" s="6"/>
      <c r="E147" s="6" t="s">
        <v>210</v>
      </c>
      <c r="F147" s="6" t="s">
        <v>260</v>
      </c>
      <c r="G147" s="6" t="s">
        <v>315</v>
      </c>
      <c r="H147" s="10" t="s">
        <v>316</v>
      </c>
    </row>
    <row r="148" spans="1:8" ht="15.75" thickBot="1">
      <c r="A148" s="66"/>
      <c r="B148" s="67"/>
      <c r="C148" s="7" t="s">
        <v>204</v>
      </c>
      <c r="D148" s="7"/>
      <c r="E148" s="7" t="s">
        <v>317</v>
      </c>
      <c r="F148" s="7">
        <v>23123</v>
      </c>
      <c r="G148" s="7" t="s">
        <v>318</v>
      </c>
      <c r="H148" s="12" t="s">
        <v>79</v>
      </c>
    </row>
    <row r="149" spans="1:8" ht="15.75" thickBot="1">
      <c r="A149" s="66"/>
      <c r="B149" s="67"/>
      <c r="C149" s="7" t="s">
        <v>204</v>
      </c>
      <c r="D149" s="7"/>
      <c r="E149" s="7" t="s">
        <v>317</v>
      </c>
      <c r="F149" s="7">
        <v>43243</v>
      </c>
      <c r="G149" s="7" t="s">
        <v>319</v>
      </c>
      <c r="H149" s="12" t="s">
        <v>79</v>
      </c>
    </row>
    <row r="150" spans="1:8" ht="15.75" thickBot="1">
      <c r="A150" s="52"/>
      <c r="B150" s="54"/>
      <c r="C150" s="7"/>
      <c r="D150" s="7"/>
      <c r="E150" s="7"/>
      <c r="F150" s="7"/>
      <c r="G150" s="7"/>
      <c r="H150" s="12"/>
    </row>
    <row r="151" spans="1:8" ht="15.75" thickBot="1">
      <c r="A151" s="51" t="s">
        <v>74</v>
      </c>
      <c r="B151" s="53" t="s">
        <v>320</v>
      </c>
      <c r="C151" s="21" t="s">
        <v>12</v>
      </c>
      <c r="D151" s="6" t="s">
        <v>4</v>
      </c>
      <c r="E151" s="22" t="s">
        <v>227</v>
      </c>
      <c r="F151" s="11"/>
      <c r="G151" s="11"/>
      <c r="H151" s="33"/>
    </row>
    <row r="152" spans="1:8" ht="15.75" thickBot="1">
      <c r="A152" s="52"/>
      <c r="B152" s="54"/>
      <c r="C152" s="7" t="s">
        <v>204</v>
      </c>
      <c r="D152" s="7" t="s">
        <v>75</v>
      </c>
      <c r="E152" s="12"/>
      <c r="F152" s="13"/>
      <c r="G152" s="13"/>
      <c r="H152" s="34"/>
    </row>
    <row r="153" spans="1:8" ht="39" thickBot="1">
      <c r="A153" s="57" t="s">
        <v>76</v>
      </c>
      <c r="B153" s="53" t="s">
        <v>321</v>
      </c>
      <c r="C153" s="6" t="s">
        <v>201</v>
      </c>
      <c r="D153" s="6"/>
      <c r="E153" s="6" t="s">
        <v>73</v>
      </c>
      <c r="F153" s="6" t="s">
        <v>260</v>
      </c>
      <c r="G153" s="6" t="s">
        <v>322</v>
      </c>
      <c r="H153" s="10" t="s">
        <v>316</v>
      </c>
    </row>
    <row r="154" spans="1:8" ht="15.75" thickBot="1">
      <c r="A154" s="74"/>
      <c r="B154" s="54"/>
      <c r="C154" s="7" t="s">
        <v>204</v>
      </c>
      <c r="D154" s="7"/>
      <c r="E154" s="7" t="s">
        <v>317</v>
      </c>
      <c r="F154" s="7">
        <v>23123</v>
      </c>
      <c r="G154" s="7" t="s">
        <v>318</v>
      </c>
      <c r="H154" s="12" t="s">
        <v>79</v>
      </c>
    </row>
    <row r="155" spans="1:8" ht="15.75" thickBot="1">
      <c r="A155" s="58"/>
      <c r="B155" s="15"/>
      <c r="C155" s="78"/>
      <c r="D155" s="79"/>
      <c r="E155" s="79"/>
      <c r="F155" s="79"/>
      <c r="G155" s="79"/>
      <c r="H155" s="80"/>
    </row>
    <row r="156" spans="1:8" ht="15.75" thickBot="1">
      <c r="A156" s="57" t="s">
        <v>77</v>
      </c>
      <c r="B156" s="53" t="s">
        <v>323</v>
      </c>
      <c r="C156" s="6" t="s">
        <v>201</v>
      </c>
      <c r="D156" s="6"/>
      <c r="E156" s="6" t="s">
        <v>324</v>
      </c>
      <c r="F156" s="10" t="s">
        <v>325</v>
      </c>
      <c r="G156" s="11"/>
      <c r="H156" s="33"/>
    </row>
    <row r="157" spans="1:8">
      <c r="A157" s="74"/>
      <c r="B157" s="67"/>
      <c r="C157" s="20" t="s">
        <v>204</v>
      </c>
      <c r="D157" s="20"/>
      <c r="E157" s="20" t="s">
        <v>326</v>
      </c>
      <c r="F157" s="9">
        <v>2</v>
      </c>
      <c r="H157" s="35"/>
    </row>
    <row r="158" spans="1:8" ht="15.75" thickBot="1">
      <c r="A158" s="74"/>
      <c r="B158" s="67"/>
      <c r="C158" s="19" t="s">
        <v>201</v>
      </c>
      <c r="D158" s="19"/>
      <c r="E158" s="19" t="s">
        <v>327</v>
      </c>
      <c r="F158" s="8" t="s">
        <v>328</v>
      </c>
      <c r="H158" s="35"/>
    </row>
    <row r="159" spans="1:8" ht="15.75" thickBot="1">
      <c r="A159" s="58"/>
      <c r="B159" s="54"/>
      <c r="C159" s="7" t="s">
        <v>204</v>
      </c>
      <c r="D159" s="7"/>
      <c r="E159" s="20" t="s">
        <v>326</v>
      </c>
      <c r="F159" s="12">
        <v>2</v>
      </c>
      <c r="G159" s="13"/>
      <c r="H159" s="34"/>
    </row>
    <row r="160" spans="1:8" ht="30.75" thickBot="1">
      <c r="A160" s="51" t="s">
        <v>78</v>
      </c>
      <c r="B160" s="53" t="s">
        <v>329</v>
      </c>
      <c r="C160" s="6" t="s">
        <v>201</v>
      </c>
      <c r="D160" s="6"/>
      <c r="E160" s="6" t="s">
        <v>210</v>
      </c>
      <c r="F160" s="6" t="s">
        <v>260</v>
      </c>
      <c r="G160" s="6" t="s">
        <v>220</v>
      </c>
      <c r="H160" s="10" t="s">
        <v>330</v>
      </c>
    </row>
    <row r="161" spans="1:8" ht="15.75" thickBot="1">
      <c r="A161" s="66"/>
      <c r="B161" s="67"/>
      <c r="C161" s="7" t="s">
        <v>204</v>
      </c>
      <c r="D161" s="7"/>
      <c r="E161" s="7" t="s">
        <v>331</v>
      </c>
      <c r="F161" s="7">
        <v>21355</v>
      </c>
      <c r="G161" s="7" t="s">
        <v>332</v>
      </c>
      <c r="H161" s="12" t="s">
        <v>79</v>
      </c>
    </row>
    <row r="162" spans="1:8" ht="15.75" thickBot="1">
      <c r="A162" s="52"/>
      <c r="B162" s="54"/>
      <c r="C162" s="7" t="s">
        <v>204</v>
      </c>
      <c r="D162" s="7"/>
      <c r="E162" s="7" t="s">
        <v>333</v>
      </c>
      <c r="F162" s="7">
        <v>43426</v>
      </c>
      <c r="G162" s="7" t="s">
        <v>332</v>
      </c>
      <c r="H162" s="12" t="s">
        <v>80</v>
      </c>
    </row>
    <row r="163" spans="1:8" ht="15.75" thickBot="1">
      <c r="A163" s="51" t="s">
        <v>81</v>
      </c>
      <c r="B163" s="59"/>
      <c r="C163" s="6" t="s">
        <v>201</v>
      </c>
      <c r="D163" s="10"/>
      <c r="E163" s="11"/>
      <c r="F163" s="11"/>
      <c r="G163" s="11"/>
      <c r="H163" s="33"/>
    </row>
    <row r="164" spans="1:8" ht="15.75" thickBot="1">
      <c r="A164" s="52"/>
      <c r="B164" s="60"/>
      <c r="C164" s="7" t="s">
        <v>202</v>
      </c>
      <c r="D164" s="12" t="s">
        <v>204</v>
      </c>
      <c r="E164" s="13"/>
      <c r="F164" s="13"/>
      <c r="G164" s="13"/>
      <c r="H164" s="34"/>
    </row>
    <row r="165" spans="1:8" ht="15.75" thickBot="1">
      <c r="A165" s="51" t="s">
        <v>82</v>
      </c>
      <c r="B165" s="53" t="s">
        <v>334</v>
      </c>
      <c r="C165" s="10" t="s">
        <v>201</v>
      </c>
      <c r="D165" s="11"/>
      <c r="E165" s="11"/>
      <c r="F165" s="11"/>
      <c r="G165" s="11"/>
      <c r="H165" s="33"/>
    </row>
    <row r="166" spans="1:8" ht="15.75" thickBot="1">
      <c r="A166" s="52"/>
      <c r="B166" s="54"/>
      <c r="C166" s="12" t="s">
        <v>204</v>
      </c>
      <c r="D166" s="13"/>
      <c r="E166" s="13"/>
      <c r="F166" s="13"/>
      <c r="G166" s="13"/>
      <c r="H166" s="34"/>
    </row>
    <row r="167" spans="1:8" ht="15.75" thickBot="1">
      <c r="A167" s="51" t="s">
        <v>83</v>
      </c>
      <c r="B167" s="53" t="s">
        <v>335</v>
      </c>
      <c r="C167" s="10" t="s">
        <v>201</v>
      </c>
      <c r="D167" s="11"/>
      <c r="E167" s="11"/>
      <c r="F167" s="11"/>
      <c r="G167" s="11"/>
      <c r="H167" s="33"/>
    </row>
    <row r="168" spans="1:8" ht="15.75" thickBot="1">
      <c r="A168" s="52"/>
      <c r="B168" s="67"/>
      <c r="C168" s="12" t="s">
        <v>204</v>
      </c>
      <c r="D168" s="13"/>
      <c r="E168" s="13"/>
      <c r="F168" s="13"/>
      <c r="G168" s="13"/>
      <c r="H168" s="34"/>
    </row>
    <row r="169" spans="1:8" ht="15.75" thickBot="1">
      <c r="A169" s="51" t="s">
        <v>84</v>
      </c>
      <c r="B169" s="54"/>
      <c r="C169" s="6" t="s">
        <v>201</v>
      </c>
      <c r="D169" s="6"/>
      <c r="E169" s="6" t="s">
        <v>4</v>
      </c>
      <c r="F169" s="10" t="s">
        <v>24</v>
      </c>
      <c r="G169" s="11"/>
      <c r="H169" s="33"/>
    </row>
    <row r="170" spans="1:8" ht="15.75" thickBot="1">
      <c r="A170" s="66"/>
      <c r="B170" s="24"/>
      <c r="C170" s="12" t="s">
        <v>204</v>
      </c>
      <c r="D170" s="20"/>
      <c r="E170" s="20" t="s">
        <v>5</v>
      </c>
      <c r="F170" s="9" t="s">
        <v>5</v>
      </c>
      <c r="H170" s="35"/>
    </row>
    <row r="171" spans="1:8" ht="15.75" thickBot="1">
      <c r="A171" s="66"/>
      <c r="B171" s="17"/>
      <c r="C171" s="8" t="s">
        <v>27</v>
      </c>
      <c r="H171" s="35"/>
    </row>
    <row r="172" spans="1:8" ht="15.75" thickBot="1">
      <c r="A172" s="52"/>
      <c r="B172" s="18"/>
      <c r="C172" s="40"/>
      <c r="D172" s="13"/>
      <c r="E172" s="13"/>
      <c r="F172" s="13"/>
      <c r="G172" s="13"/>
      <c r="H172" s="34"/>
    </row>
    <row r="173" spans="1:8" ht="30.75" thickBot="1">
      <c r="A173" s="57" t="s">
        <v>85</v>
      </c>
      <c r="B173" s="53" t="s">
        <v>336</v>
      </c>
      <c r="C173" s="6" t="s">
        <v>201</v>
      </c>
      <c r="D173" s="6"/>
      <c r="E173" s="6" t="s">
        <v>27</v>
      </c>
      <c r="F173" s="6" t="s">
        <v>337</v>
      </c>
      <c r="G173" s="10" t="s">
        <v>338</v>
      </c>
      <c r="H173" s="33"/>
    </row>
    <row r="174" spans="1:8" ht="15.75" thickBot="1">
      <c r="A174" s="74"/>
      <c r="B174" s="67"/>
      <c r="C174" s="7" t="s">
        <v>204</v>
      </c>
      <c r="D174" s="7"/>
      <c r="E174" s="41" t="s">
        <v>339</v>
      </c>
      <c r="F174" s="7" t="s">
        <v>340</v>
      </c>
      <c r="G174" s="12" t="s">
        <v>86</v>
      </c>
      <c r="H174" s="35"/>
    </row>
    <row r="175" spans="1:8" ht="15.75" thickBot="1">
      <c r="A175" s="74"/>
      <c r="B175" s="67"/>
      <c r="C175" s="7" t="s">
        <v>204</v>
      </c>
      <c r="D175" s="20"/>
      <c r="E175" s="42" t="s">
        <v>341</v>
      </c>
      <c r="F175" s="20" t="s">
        <v>87</v>
      </c>
      <c r="G175" s="9" t="s">
        <v>22</v>
      </c>
      <c r="H175" s="35"/>
    </row>
    <row r="176" spans="1:8">
      <c r="A176" s="74"/>
      <c r="B176" s="67"/>
      <c r="C176" s="75" t="s">
        <v>43</v>
      </c>
      <c r="D176" s="76"/>
      <c r="E176" s="76"/>
      <c r="F176" s="76"/>
      <c r="G176" s="76"/>
      <c r="H176" s="77"/>
    </row>
    <row r="177" spans="1:8">
      <c r="A177" s="74"/>
      <c r="B177" s="67"/>
      <c r="C177" s="75" t="s">
        <v>88</v>
      </c>
      <c r="D177" s="76"/>
      <c r="E177" s="76"/>
      <c r="F177" s="76"/>
      <c r="G177" s="76"/>
      <c r="H177" s="77"/>
    </row>
    <row r="178" spans="1:8" ht="15.75" thickBot="1">
      <c r="A178" s="74"/>
      <c r="B178" s="67"/>
      <c r="C178" s="39" t="s">
        <v>280</v>
      </c>
      <c r="D178" s="39" t="s">
        <v>281</v>
      </c>
      <c r="E178" s="39" t="s">
        <v>342</v>
      </c>
      <c r="F178" s="44" t="s">
        <v>343</v>
      </c>
      <c r="H178" s="35"/>
    </row>
    <row r="179" spans="1:8" ht="15.75" thickBot="1">
      <c r="A179" s="74"/>
      <c r="B179" s="67"/>
      <c r="C179" s="20" t="s">
        <v>204</v>
      </c>
      <c r="D179" s="20" t="s">
        <v>34</v>
      </c>
      <c r="E179" s="41" t="s">
        <v>339</v>
      </c>
      <c r="F179" s="9" t="s">
        <v>344</v>
      </c>
      <c r="H179" s="35"/>
    </row>
    <row r="180" spans="1:8">
      <c r="A180" s="74"/>
      <c r="B180" s="67"/>
      <c r="C180" s="75"/>
      <c r="D180" s="76"/>
      <c r="E180" s="76"/>
      <c r="F180" s="76"/>
      <c r="G180" s="76"/>
      <c r="H180" s="77"/>
    </row>
    <row r="181" spans="1:8">
      <c r="A181" s="74"/>
      <c r="B181" s="67"/>
      <c r="C181" s="75" t="s">
        <v>89</v>
      </c>
      <c r="D181" s="76"/>
      <c r="E181" s="76"/>
      <c r="F181" s="76"/>
      <c r="G181" s="76"/>
      <c r="H181" s="77"/>
    </row>
    <row r="182" spans="1:8" ht="15.75" thickBot="1">
      <c r="A182" s="74"/>
      <c r="B182" s="67"/>
      <c r="C182" s="39" t="s">
        <v>280</v>
      </c>
      <c r="D182" s="39" t="s">
        <v>281</v>
      </c>
      <c r="E182" s="39" t="s">
        <v>342</v>
      </c>
      <c r="F182" s="44" t="s">
        <v>345</v>
      </c>
      <c r="H182" s="35"/>
    </row>
    <row r="183" spans="1:8">
      <c r="A183" s="74"/>
      <c r="B183" s="67"/>
      <c r="C183" s="20" t="s">
        <v>204</v>
      </c>
      <c r="D183" s="20"/>
      <c r="E183" s="20" t="s">
        <v>346</v>
      </c>
      <c r="F183" s="9">
        <v>1</v>
      </c>
      <c r="H183" s="35"/>
    </row>
    <row r="184" spans="1:8">
      <c r="A184" s="74"/>
      <c r="B184" s="67"/>
      <c r="C184" s="75"/>
      <c r="D184" s="76"/>
      <c r="E184" s="76"/>
      <c r="F184" s="76"/>
      <c r="G184" s="76"/>
      <c r="H184" s="77"/>
    </row>
    <row r="185" spans="1:8">
      <c r="A185" s="74"/>
      <c r="B185" s="67"/>
      <c r="C185" s="75" t="s">
        <v>90</v>
      </c>
      <c r="D185" s="76"/>
      <c r="E185" s="76"/>
      <c r="F185" s="76"/>
      <c r="G185" s="76"/>
      <c r="H185" s="77"/>
    </row>
    <row r="186" spans="1:8" ht="15.75" thickBot="1">
      <c r="A186" s="74"/>
      <c r="B186" s="67"/>
      <c r="C186" s="39" t="s">
        <v>280</v>
      </c>
      <c r="D186" s="39" t="s">
        <v>281</v>
      </c>
      <c r="E186" s="39" t="s">
        <v>342</v>
      </c>
      <c r="F186" s="44" t="s">
        <v>347</v>
      </c>
      <c r="H186" s="35"/>
    </row>
    <row r="187" spans="1:8" ht="15.75" thickBot="1">
      <c r="A187" s="58"/>
      <c r="B187" s="54"/>
      <c r="C187" s="7" t="s">
        <v>204</v>
      </c>
      <c r="D187" s="7"/>
      <c r="E187" s="20" t="s">
        <v>346</v>
      </c>
      <c r="F187" s="9">
        <v>1</v>
      </c>
      <c r="G187" s="13"/>
      <c r="H187" s="34"/>
    </row>
    <row r="188" spans="1:8" ht="30.75" customHeight="1" thickBot="1">
      <c r="A188" s="57" t="s">
        <v>91</v>
      </c>
      <c r="B188" s="53" t="s">
        <v>348</v>
      </c>
      <c r="C188" s="6" t="s">
        <v>201</v>
      </c>
      <c r="D188" s="6"/>
      <c r="E188" s="23" t="s">
        <v>259</v>
      </c>
      <c r="F188" s="10" t="s">
        <v>349</v>
      </c>
      <c r="G188" s="11"/>
      <c r="H188" s="33"/>
    </row>
    <row r="189" spans="1:8" ht="15.75" thickBot="1">
      <c r="A189" s="58"/>
      <c r="B189" s="67"/>
      <c r="C189" s="7" t="s">
        <v>204</v>
      </c>
      <c r="D189" s="7" t="s">
        <v>281</v>
      </c>
      <c r="E189" s="20" t="s">
        <v>346</v>
      </c>
      <c r="F189" s="9">
        <v>7</v>
      </c>
      <c r="G189" s="13"/>
      <c r="H189" s="34"/>
    </row>
    <row r="190" spans="1:8" ht="15.75" thickBot="1">
      <c r="A190" s="51" t="s">
        <v>93</v>
      </c>
      <c r="B190" s="67"/>
      <c r="C190" s="6" t="s">
        <v>201</v>
      </c>
      <c r="D190" s="6"/>
      <c r="E190" s="10" t="s">
        <v>249</v>
      </c>
      <c r="F190" s="11"/>
      <c r="G190" s="11"/>
      <c r="H190" s="33"/>
    </row>
    <row r="191" spans="1:8" ht="15.75" thickBot="1">
      <c r="A191" s="52"/>
      <c r="B191" s="67"/>
      <c r="C191" s="7" t="s">
        <v>204</v>
      </c>
      <c r="D191" s="7"/>
      <c r="E191" s="12">
        <v>88</v>
      </c>
      <c r="F191" s="13"/>
      <c r="G191" s="13"/>
      <c r="H191" s="34"/>
    </row>
    <row r="192" spans="1:8" ht="15.75" thickBot="1">
      <c r="A192" s="51" t="s">
        <v>94</v>
      </c>
      <c r="B192" s="67"/>
      <c r="C192" s="6" t="s">
        <v>201</v>
      </c>
      <c r="D192" s="10"/>
      <c r="E192" s="11"/>
      <c r="F192" s="11"/>
      <c r="G192" s="11"/>
      <c r="H192" s="33"/>
    </row>
    <row r="193" spans="1:8" ht="15.75" thickBot="1">
      <c r="A193" s="52"/>
      <c r="B193" s="67"/>
      <c r="C193" s="7" t="s">
        <v>204</v>
      </c>
      <c r="D193" s="12"/>
      <c r="E193" s="13"/>
      <c r="F193" s="13"/>
      <c r="G193" s="13"/>
      <c r="H193" s="34"/>
    </row>
    <row r="194" spans="1:8" ht="15.75" thickBot="1">
      <c r="A194" s="51" t="s">
        <v>95</v>
      </c>
      <c r="B194" s="67"/>
      <c r="C194" s="6" t="s">
        <v>201</v>
      </c>
      <c r="D194" s="10"/>
      <c r="E194" s="11"/>
      <c r="F194" s="11"/>
      <c r="G194" s="11"/>
      <c r="H194" s="33"/>
    </row>
    <row r="195" spans="1:8" ht="15.75" thickBot="1">
      <c r="A195" s="52"/>
      <c r="B195" s="67"/>
      <c r="C195" s="7" t="s">
        <v>204</v>
      </c>
      <c r="D195" s="12"/>
      <c r="E195" s="13"/>
      <c r="F195" s="13"/>
      <c r="G195" s="13"/>
      <c r="H195" s="34"/>
    </row>
    <row r="196" spans="1:8" ht="15.75" thickBot="1">
      <c r="A196" s="57" t="s">
        <v>96</v>
      </c>
      <c r="B196" s="67"/>
      <c r="C196" s="6" t="s">
        <v>201</v>
      </c>
      <c r="D196" s="6"/>
      <c r="E196" s="10" t="s">
        <v>303</v>
      </c>
      <c r="F196" s="11"/>
      <c r="G196" s="11"/>
      <c r="H196" s="33"/>
    </row>
    <row r="197" spans="1:8" ht="15.75" thickBot="1">
      <c r="A197" s="58"/>
      <c r="B197" s="67"/>
      <c r="C197" s="7" t="s">
        <v>204</v>
      </c>
      <c r="D197" s="7"/>
      <c r="E197" s="12">
        <v>22</v>
      </c>
      <c r="F197" s="13"/>
      <c r="G197" s="13"/>
      <c r="H197" s="34"/>
    </row>
    <row r="198" spans="1:8" ht="15.75" thickBot="1">
      <c r="A198" s="51" t="s">
        <v>97</v>
      </c>
      <c r="B198" s="67"/>
      <c r="C198" s="6" t="s">
        <v>201</v>
      </c>
      <c r="D198" s="6"/>
      <c r="E198" s="10" t="s">
        <v>210</v>
      </c>
      <c r="F198" s="11"/>
      <c r="G198" s="11"/>
      <c r="H198" s="33"/>
    </row>
    <row r="199" spans="1:8" ht="15.75" thickBot="1">
      <c r="A199" s="52"/>
      <c r="B199" s="67"/>
      <c r="C199" s="7" t="s">
        <v>204</v>
      </c>
      <c r="D199" s="7"/>
      <c r="E199" s="12" t="s">
        <v>10</v>
      </c>
      <c r="F199" s="13"/>
      <c r="G199" s="13"/>
      <c r="H199" s="34"/>
    </row>
    <row r="200" spans="1:8" ht="15.75" thickBot="1">
      <c r="A200" s="51" t="s">
        <v>98</v>
      </c>
      <c r="B200" s="67"/>
      <c r="C200" s="6" t="s">
        <v>201</v>
      </c>
      <c r="D200" s="10"/>
      <c r="E200" s="11"/>
      <c r="F200" s="11"/>
      <c r="G200" s="11"/>
      <c r="H200" s="33"/>
    </row>
    <row r="201" spans="1:8" ht="15.75" thickBot="1">
      <c r="A201" s="66"/>
      <c r="B201" s="67"/>
      <c r="C201" s="7" t="s">
        <v>204</v>
      </c>
      <c r="D201" s="9"/>
      <c r="H201" s="35"/>
    </row>
    <row r="202" spans="1:8" ht="15.75" thickBot="1">
      <c r="A202" s="66"/>
      <c r="B202" s="54"/>
      <c r="C202" s="68"/>
      <c r="D202" s="69"/>
      <c r="E202" s="69"/>
      <c r="F202" s="69"/>
      <c r="G202" s="69"/>
      <c r="H202" s="70"/>
    </row>
    <row r="203" spans="1:8" ht="30.75" thickBot="1">
      <c r="A203" s="66"/>
      <c r="B203" s="17"/>
      <c r="C203" s="19" t="s">
        <v>201</v>
      </c>
      <c r="D203" s="19"/>
      <c r="E203" s="19" t="s">
        <v>259</v>
      </c>
      <c r="F203" s="19" t="s">
        <v>260</v>
      </c>
      <c r="G203" s="19" t="s">
        <v>220</v>
      </c>
      <c r="H203" s="8" t="s">
        <v>261</v>
      </c>
    </row>
    <row r="204" spans="1:8" ht="15.75" thickBot="1">
      <c r="A204" s="66"/>
      <c r="B204" s="17"/>
      <c r="C204" s="7" t="s">
        <v>204</v>
      </c>
      <c r="D204" s="7"/>
      <c r="E204" s="41" t="s">
        <v>339</v>
      </c>
      <c r="F204" s="7">
        <v>21355</v>
      </c>
      <c r="G204" s="7" t="s">
        <v>332</v>
      </c>
      <c r="H204" s="12" t="s">
        <v>86</v>
      </c>
    </row>
    <row r="205" spans="1:8" ht="15.75" thickBot="1">
      <c r="A205" s="52"/>
      <c r="B205" s="18"/>
      <c r="C205" s="71"/>
      <c r="D205" s="72"/>
      <c r="E205" s="72"/>
      <c r="F205" s="72"/>
      <c r="G205" s="72"/>
      <c r="H205" s="73"/>
    </row>
    <row r="206" spans="1:8" ht="15.75" thickBot="1">
      <c r="A206" s="51" t="s">
        <v>99</v>
      </c>
      <c r="B206" s="53" t="s">
        <v>350</v>
      </c>
      <c r="C206" s="6" t="s">
        <v>201</v>
      </c>
      <c r="D206" s="6"/>
      <c r="E206" s="10" t="s">
        <v>266</v>
      </c>
      <c r="F206" s="11"/>
      <c r="G206" s="11"/>
      <c r="H206" s="33"/>
    </row>
    <row r="207" spans="1:8">
      <c r="A207" s="66"/>
      <c r="B207" s="67"/>
      <c r="C207" s="20" t="s">
        <v>204</v>
      </c>
      <c r="D207" s="20"/>
      <c r="E207" s="9" t="s">
        <v>68</v>
      </c>
      <c r="H207" s="35"/>
    </row>
    <row r="208" spans="1:8">
      <c r="A208" s="66"/>
      <c r="B208" s="67"/>
      <c r="C208" s="68"/>
      <c r="D208" s="69"/>
      <c r="E208" s="69"/>
      <c r="F208" s="69"/>
      <c r="G208" s="69"/>
      <c r="H208" s="70"/>
    </row>
    <row r="209" spans="1:8" ht="30.75" thickBot="1">
      <c r="A209" s="66"/>
      <c r="B209" s="67"/>
      <c r="C209" s="19" t="s">
        <v>201</v>
      </c>
      <c r="D209" s="19"/>
      <c r="E209" s="19" t="s">
        <v>259</v>
      </c>
      <c r="F209" s="19" t="s">
        <v>260</v>
      </c>
      <c r="G209" s="19" t="s">
        <v>220</v>
      </c>
      <c r="H209" s="8" t="s">
        <v>261</v>
      </c>
    </row>
    <row r="210" spans="1:8" ht="15.75" thickBot="1">
      <c r="A210" s="66"/>
      <c r="B210" s="67"/>
      <c r="C210" s="7" t="s">
        <v>204</v>
      </c>
      <c r="D210" s="7"/>
      <c r="E210" s="41" t="s">
        <v>339</v>
      </c>
      <c r="F210" s="7">
        <v>21355</v>
      </c>
      <c r="G210" s="7" t="s">
        <v>332</v>
      </c>
      <c r="H210" s="12" t="s">
        <v>86</v>
      </c>
    </row>
    <row r="211" spans="1:8" ht="15.75" thickBot="1">
      <c r="A211" s="52"/>
      <c r="B211" s="54"/>
      <c r="C211" s="71"/>
      <c r="D211" s="72"/>
      <c r="E211" s="72"/>
      <c r="F211" s="72"/>
      <c r="G211" s="72"/>
      <c r="H211" s="73"/>
    </row>
    <row r="212" spans="1:8" ht="15.75" thickBot="1">
      <c r="A212" s="51" t="s">
        <v>100</v>
      </c>
      <c r="B212" s="53" t="s">
        <v>351</v>
      </c>
      <c r="C212" s="6" t="s">
        <v>201</v>
      </c>
      <c r="D212" s="6"/>
      <c r="E212" s="10" t="s">
        <v>352</v>
      </c>
      <c r="F212" s="11"/>
      <c r="G212" s="11"/>
      <c r="H212" s="33"/>
    </row>
    <row r="213" spans="1:8" ht="15.75" thickBot="1">
      <c r="A213" s="52"/>
      <c r="B213" s="54"/>
      <c r="C213" s="7" t="s">
        <v>204</v>
      </c>
      <c r="D213" s="7"/>
      <c r="E213" s="7">
        <v>556</v>
      </c>
      <c r="F213" s="13"/>
      <c r="G213" s="13"/>
      <c r="H213" s="34"/>
    </row>
    <row r="214" spans="1:8" ht="15.75" thickBot="1">
      <c r="A214" s="36"/>
      <c r="B214" s="23"/>
      <c r="C214" s="61"/>
      <c r="D214" s="62"/>
      <c r="E214" s="62"/>
      <c r="F214" s="62"/>
      <c r="G214" s="62"/>
      <c r="H214" s="63"/>
    </row>
    <row r="215" spans="1:8" ht="15.75" thickBot="1">
      <c r="A215" s="51" t="s">
        <v>100</v>
      </c>
      <c r="B215" s="53" t="s">
        <v>353</v>
      </c>
      <c r="C215" s="6" t="s">
        <v>201</v>
      </c>
      <c r="D215" s="6"/>
      <c r="E215" s="10" t="s">
        <v>352</v>
      </c>
      <c r="F215" s="11"/>
      <c r="G215" s="11"/>
      <c r="H215" s="33"/>
    </row>
    <row r="216" spans="1:8" ht="15.75" thickBot="1">
      <c r="A216" s="52"/>
      <c r="B216" s="54"/>
      <c r="C216" s="7" t="s">
        <v>204</v>
      </c>
      <c r="D216" s="7"/>
      <c r="E216" s="7">
        <v>556</v>
      </c>
      <c r="F216" s="13"/>
      <c r="G216" s="13"/>
      <c r="H216" s="34"/>
    </row>
    <row r="217" spans="1:8" ht="15.75" thickBot="1">
      <c r="A217" s="51" t="s">
        <v>101</v>
      </c>
      <c r="B217" s="53" t="s">
        <v>354</v>
      </c>
      <c r="C217" s="6" t="s">
        <v>201</v>
      </c>
      <c r="D217" s="10"/>
      <c r="E217" s="11"/>
      <c r="F217" s="11"/>
      <c r="G217" s="11"/>
      <c r="H217" s="33"/>
    </row>
    <row r="218" spans="1:8" ht="15.75" thickBot="1">
      <c r="A218" s="52"/>
      <c r="B218" s="54"/>
      <c r="C218" s="12" t="s">
        <v>204</v>
      </c>
      <c r="D218" s="12"/>
      <c r="E218" s="13"/>
      <c r="F218" s="13"/>
      <c r="G218" s="13"/>
      <c r="H218" s="34"/>
    </row>
    <row r="219" spans="1:8" ht="15.75" thickBot="1">
      <c r="A219" s="64" t="s">
        <v>102</v>
      </c>
      <c r="B219" s="53" t="s">
        <v>355</v>
      </c>
      <c r="C219" s="22" t="s">
        <v>218</v>
      </c>
      <c r="D219" s="11"/>
      <c r="E219" s="11"/>
      <c r="F219" s="11"/>
      <c r="G219" s="11"/>
      <c r="H219" s="33"/>
    </row>
    <row r="220" spans="1:8" ht="15.75" thickBot="1">
      <c r="A220" s="65"/>
      <c r="B220" s="54"/>
      <c r="C220" s="12" t="s">
        <v>204</v>
      </c>
      <c r="D220" s="13"/>
      <c r="E220" s="13"/>
      <c r="F220" s="13"/>
      <c r="G220" s="13"/>
      <c r="H220" s="34"/>
    </row>
    <row r="221" spans="1:8" ht="15.75" thickBot="1">
      <c r="A221" s="51" t="s">
        <v>103</v>
      </c>
      <c r="B221" s="53" t="s">
        <v>356</v>
      </c>
      <c r="C221" s="6" t="s">
        <v>201</v>
      </c>
      <c r="D221" s="10"/>
      <c r="E221" s="11"/>
      <c r="F221" s="11"/>
      <c r="G221" s="11"/>
      <c r="H221" s="33"/>
    </row>
    <row r="222" spans="1:8" ht="15.75" thickBot="1">
      <c r="A222" s="52"/>
      <c r="B222" s="54"/>
      <c r="C222" s="7" t="s">
        <v>204</v>
      </c>
      <c r="D222" s="12"/>
      <c r="E222" s="13"/>
      <c r="F222" s="13"/>
      <c r="G222" s="13"/>
      <c r="H222" s="34"/>
    </row>
    <row r="223" spans="1:8" ht="15.75" thickBot="1">
      <c r="A223" s="51" t="s">
        <v>104</v>
      </c>
      <c r="B223" s="53" t="s">
        <v>357</v>
      </c>
      <c r="C223" s="6" t="s">
        <v>201</v>
      </c>
      <c r="D223" s="10"/>
      <c r="E223" s="11"/>
      <c r="F223" s="11"/>
      <c r="G223" s="11"/>
      <c r="H223" s="33"/>
    </row>
    <row r="224" spans="1:8" ht="15.75" thickBot="1">
      <c r="A224" s="52"/>
      <c r="B224" s="54"/>
      <c r="C224" s="7" t="s">
        <v>204</v>
      </c>
      <c r="D224" s="40"/>
      <c r="E224" s="13"/>
      <c r="F224" s="13"/>
      <c r="G224" s="13"/>
      <c r="H224" s="34"/>
    </row>
    <row r="225" spans="1:8" ht="15.75" thickBot="1">
      <c r="A225" s="57" t="s">
        <v>105</v>
      </c>
      <c r="B225" s="53" t="s">
        <v>358</v>
      </c>
      <c r="C225" s="6" t="s">
        <v>201</v>
      </c>
      <c r="D225" s="6"/>
      <c r="E225" s="10" t="s">
        <v>4</v>
      </c>
      <c r="F225" s="11"/>
      <c r="G225" s="11"/>
      <c r="H225" s="33"/>
    </row>
    <row r="226" spans="1:8" ht="15.75" thickBot="1">
      <c r="A226" s="58"/>
      <c r="B226" s="54"/>
      <c r="C226" s="7" t="s">
        <v>204</v>
      </c>
      <c r="D226" s="7"/>
      <c r="E226" s="12" t="s">
        <v>10</v>
      </c>
      <c r="F226" s="13"/>
      <c r="G226" s="13"/>
      <c r="H226" s="34"/>
    </row>
    <row r="227" spans="1:8" ht="15.75" thickBot="1">
      <c r="A227" s="51" t="s">
        <v>105</v>
      </c>
      <c r="B227" s="53" t="s">
        <v>359</v>
      </c>
      <c r="C227" s="6" t="s">
        <v>201</v>
      </c>
      <c r="D227" s="6"/>
      <c r="E227" s="10" t="s">
        <v>4</v>
      </c>
      <c r="F227" s="11"/>
      <c r="G227" s="11"/>
      <c r="H227" s="33"/>
    </row>
    <row r="228" spans="1:8" ht="15.75" thickBot="1">
      <c r="A228" s="52"/>
      <c r="B228" s="54"/>
      <c r="C228" s="7" t="s">
        <v>204</v>
      </c>
      <c r="D228" s="7"/>
      <c r="E228" s="12" t="s">
        <v>10</v>
      </c>
      <c r="F228" s="13"/>
      <c r="G228" s="13"/>
      <c r="H228" s="34"/>
    </row>
    <row r="229" spans="1:8" ht="15.75" thickBot="1">
      <c r="A229" s="51" t="s">
        <v>106</v>
      </c>
      <c r="B229" s="53" t="s">
        <v>360</v>
      </c>
      <c r="C229" s="10" t="s">
        <v>201</v>
      </c>
      <c r="D229" s="11"/>
      <c r="E229" s="11"/>
      <c r="F229" s="11"/>
      <c r="G229" s="11"/>
      <c r="H229" s="33"/>
    </row>
    <row r="230" spans="1:8" ht="15.75" thickBot="1">
      <c r="A230" s="52"/>
      <c r="B230" s="54"/>
      <c r="C230" s="12" t="s">
        <v>204</v>
      </c>
      <c r="D230" s="13"/>
      <c r="E230" s="13"/>
      <c r="F230" s="13"/>
      <c r="G230" s="13"/>
      <c r="H230" s="34"/>
    </row>
    <row r="231" spans="1:8" ht="15.75" thickBot="1">
      <c r="A231" s="51" t="s">
        <v>107</v>
      </c>
      <c r="B231" s="53" t="s">
        <v>361</v>
      </c>
      <c r="C231" s="6" t="s">
        <v>201</v>
      </c>
      <c r="D231" s="10"/>
      <c r="E231" s="11"/>
      <c r="F231" s="11"/>
      <c r="G231" s="11"/>
      <c r="H231" s="33"/>
    </row>
    <row r="232" spans="1:8" ht="15.75" thickBot="1">
      <c r="A232" s="52"/>
      <c r="B232" s="54"/>
      <c r="C232" s="7" t="s">
        <v>204</v>
      </c>
      <c r="D232" s="12" t="s">
        <v>202</v>
      </c>
      <c r="E232" s="13"/>
      <c r="F232" s="13"/>
      <c r="G232" s="13"/>
      <c r="H232" s="34"/>
    </row>
    <row r="233" spans="1:8" ht="15.75" thickBot="1">
      <c r="A233" s="51" t="s">
        <v>108</v>
      </c>
      <c r="B233" s="59"/>
      <c r="C233" s="10" t="s">
        <v>201</v>
      </c>
      <c r="D233" s="11"/>
      <c r="E233" s="11"/>
      <c r="F233" s="11"/>
      <c r="G233" s="11"/>
      <c r="H233" s="33"/>
    </row>
    <row r="234" spans="1:8" ht="15.75" thickBot="1">
      <c r="A234" s="52"/>
      <c r="B234" s="60"/>
      <c r="C234" s="40"/>
      <c r="D234" s="13"/>
      <c r="E234" s="13"/>
      <c r="F234" s="13"/>
      <c r="G234" s="13"/>
      <c r="H234" s="34"/>
    </row>
    <row r="235" spans="1:8" ht="15.75" customHeight="1" thickBot="1">
      <c r="A235" s="57" t="s">
        <v>109</v>
      </c>
      <c r="B235" s="53" t="s">
        <v>362</v>
      </c>
      <c r="C235" s="10" t="s">
        <v>201</v>
      </c>
      <c r="D235" s="11"/>
      <c r="E235" s="11"/>
      <c r="F235" s="11"/>
      <c r="G235" s="11"/>
      <c r="H235" s="33"/>
    </row>
    <row r="236" spans="1:8" ht="15.75" customHeight="1" thickBot="1">
      <c r="A236" s="58"/>
      <c r="B236" s="54"/>
      <c r="C236" s="40"/>
      <c r="D236" s="13"/>
      <c r="E236" s="13"/>
      <c r="F236" s="13"/>
      <c r="G236" s="13"/>
      <c r="H236" s="34"/>
    </row>
    <row r="237" spans="1:8" ht="15.75" thickBot="1">
      <c r="A237" s="51" t="s">
        <v>110</v>
      </c>
      <c r="B237" s="53" t="s">
        <v>363</v>
      </c>
      <c r="C237" s="10" t="s">
        <v>201</v>
      </c>
      <c r="D237" s="11"/>
      <c r="E237" s="11"/>
      <c r="F237" s="11"/>
      <c r="G237" s="11"/>
      <c r="H237" s="33"/>
    </row>
    <row r="238" spans="1:8" ht="15.75" thickBot="1">
      <c r="A238" s="52"/>
      <c r="B238" s="54"/>
      <c r="C238" s="12" t="s">
        <v>204</v>
      </c>
      <c r="D238" s="13"/>
      <c r="E238" s="13"/>
      <c r="F238" s="13"/>
      <c r="G238" s="13"/>
      <c r="H238" s="34"/>
    </row>
    <row r="239" spans="1:8" ht="15.75" thickBot="1">
      <c r="A239" s="51" t="s">
        <v>111</v>
      </c>
      <c r="B239" s="53" t="s">
        <v>364</v>
      </c>
      <c r="C239" s="10" t="s">
        <v>201</v>
      </c>
      <c r="D239" s="11"/>
      <c r="E239" s="11"/>
      <c r="F239" s="11"/>
      <c r="G239" s="11"/>
      <c r="H239" s="33"/>
    </row>
    <row r="240" spans="1:8" ht="15.75" thickBot="1">
      <c r="A240" s="52"/>
      <c r="B240" s="54"/>
      <c r="C240" s="12" t="s">
        <v>204</v>
      </c>
      <c r="D240" s="13"/>
      <c r="E240" s="13"/>
      <c r="F240" s="13"/>
      <c r="G240" s="13"/>
      <c r="H240" s="34"/>
    </row>
    <row r="241" spans="1:8" ht="15.75" thickBot="1">
      <c r="A241" s="57" t="s">
        <v>112</v>
      </c>
      <c r="B241" s="53" t="s">
        <v>365</v>
      </c>
      <c r="C241" s="10" t="s">
        <v>201</v>
      </c>
      <c r="D241" s="11"/>
      <c r="E241" s="11"/>
      <c r="F241" s="11"/>
      <c r="G241" s="11"/>
      <c r="H241" s="33"/>
    </row>
    <row r="242" spans="1:8" ht="15.75" thickBot="1">
      <c r="A242" s="58"/>
      <c r="B242" s="54"/>
      <c r="C242" s="12" t="s">
        <v>204</v>
      </c>
      <c r="D242" s="13"/>
      <c r="E242" s="13"/>
      <c r="F242" s="13"/>
      <c r="G242" s="13"/>
      <c r="H242" s="34"/>
    </row>
    <row r="243" spans="1:8" ht="15.75" thickBot="1">
      <c r="A243" s="51" t="s">
        <v>112</v>
      </c>
      <c r="B243" s="53" t="s">
        <v>366</v>
      </c>
      <c r="C243" s="10" t="s">
        <v>201</v>
      </c>
      <c r="D243" s="11"/>
      <c r="E243" s="11"/>
      <c r="F243" s="11"/>
      <c r="G243" s="11"/>
      <c r="H243" s="33"/>
    </row>
    <row r="244" spans="1:8" ht="15.75" thickBot="1">
      <c r="A244" s="52"/>
      <c r="B244" s="54"/>
      <c r="C244" s="12" t="s">
        <v>204</v>
      </c>
      <c r="D244" s="13"/>
      <c r="E244" s="13"/>
      <c r="F244" s="13"/>
      <c r="G244" s="13"/>
      <c r="H244" s="34"/>
    </row>
    <row r="245" spans="1:8" ht="15.75" thickBot="1">
      <c r="A245" s="51" t="s">
        <v>113</v>
      </c>
      <c r="B245" s="53" t="s">
        <v>367</v>
      </c>
      <c r="C245" s="10" t="s">
        <v>201</v>
      </c>
      <c r="D245" s="11"/>
      <c r="E245" s="11"/>
      <c r="F245" s="11"/>
      <c r="G245" s="11"/>
      <c r="H245" s="33"/>
    </row>
    <row r="246" spans="1:8" ht="15.75" thickBot="1">
      <c r="A246" s="52"/>
      <c r="B246" s="54"/>
      <c r="C246" s="12" t="s">
        <v>204</v>
      </c>
      <c r="D246" s="13"/>
      <c r="E246" s="13"/>
      <c r="F246" s="13"/>
      <c r="G246" s="13"/>
      <c r="H246" s="34"/>
    </row>
    <row r="247" spans="1:8" ht="15.75" thickBot="1">
      <c r="A247" s="51" t="s">
        <v>114</v>
      </c>
      <c r="B247" s="53" t="s">
        <v>368</v>
      </c>
      <c r="C247" s="21" t="s">
        <v>12</v>
      </c>
      <c r="D247" s="6" t="s">
        <v>4</v>
      </c>
      <c r="E247" s="22" t="s">
        <v>218</v>
      </c>
      <c r="F247" s="11"/>
      <c r="G247" s="11"/>
      <c r="H247" s="33"/>
    </row>
    <row r="248" spans="1:8" ht="15.75" thickBot="1">
      <c r="A248" s="55"/>
      <c r="B248" s="54"/>
      <c r="C248" s="20" t="s">
        <v>204</v>
      </c>
      <c r="D248" s="20" t="s">
        <v>115</v>
      </c>
      <c r="E248" s="9" t="s">
        <v>202</v>
      </c>
      <c r="F248" s="37"/>
      <c r="G248" s="37"/>
      <c r="H248" s="38"/>
    </row>
    <row r="249" spans="1:8">
      <c r="A249" s="4"/>
      <c r="B249" s="53" t="s">
        <v>369</v>
      </c>
    </row>
    <row r="250" spans="1:8" ht="15.75" thickBot="1">
      <c r="A250" s="43"/>
      <c r="B250" s="54"/>
      <c r="C250" s="8" t="s">
        <v>4</v>
      </c>
    </row>
    <row r="251" spans="1:8" ht="15.75" thickBot="1">
      <c r="A251" s="53" t="s">
        <v>370</v>
      </c>
      <c r="B251" s="7" t="s">
        <v>202</v>
      </c>
      <c r="C251" s="12" t="s">
        <v>92</v>
      </c>
    </row>
    <row r="252" spans="1:8" ht="15.75" thickBot="1">
      <c r="A252" s="54"/>
      <c r="B252" s="20" t="s">
        <v>204</v>
      </c>
      <c r="C252" s="9" t="s">
        <v>68</v>
      </c>
    </row>
    <row r="253" spans="1:8">
      <c r="A253" s="5"/>
    </row>
    <row r="254" spans="1:8">
      <c r="A254" s="5"/>
    </row>
  </sheetData>
  <mergeCells count="175">
    <mergeCell ref="B227:B228"/>
    <mergeCell ref="A229:A230"/>
    <mergeCell ref="B229:B230"/>
    <mergeCell ref="A231:A232"/>
    <mergeCell ref="B231:B232"/>
    <mergeCell ref="A233:A234"/>
    <mergeCell ref="B233:B234"/>
    <mergeCell ref="A235:A236"/>
    <mergeCell ref="B235:B236"/>
    <mergeCell ref="C185:H185"/>
    <mergeCell ref="A188:A189"/>
    <mergeCell ref="B188:B202"/>
    <mergeCell ref="A190:A191"/>
    <mergeCell ref="A192:A193"/>
    <mergeCell ref="A194:A195"/>
    <mergeCell ref="A196:A197"/>
    <mergeCell ref="A198:A199"/>
    <mergeCell ref="A200:A205"/>
    <mergeCell ref="C202:H202"/>
    <mergeCell ref="B136:B137"/>
    <mergeCell ref="A138:A139"/>
    <mergeCell ref="B138:B139"/>
    <mergeCell ref="A140:A145"/>
    <mergeCell ref="B140:B142"/>
    <mergeCell ref="C142:H142"/>
    <mergeCell ref="C143:H143"/>
    <mergeCell ref="A147:A150"/>
    <mergeCell ref="B147:B150"/>
    <mergeCell ref="B103:B106"/>
    <mergeCell ref="C107:H107"/>
    <mergeCell ref="A108:A112"/>
    <mergeCell ref="B108:B112"/>
    <mergeCell ref="C112:H112"/>
    <mergeCell ref="A113:A114"/>
    <mergeCell ref="B113:B114"/>
    <mergeCell ref="A115:A121"/>
    <mergeCell ref="B115:B121"/>
    <mergeCell ref="C117:H117"/>
    <mergeCell ref="C118:H118"/>
    <mergeCell ref="A19:A20"/>
    <mergeCell ref="A21:A22"/>
    <mergeCell ref="A23:A24"/>
    <mergeCell ref="B23:B24"/>
    <mergeCell ref="A3:A4"/>
    <mergeCell ref="B3:B4"/>
    <mergeCell ref="A5:A6"/>
    <mergeCell ref="A1:A2"/>
    <mergeCell ref="B1:B2"/>
    <mergeCell ref="A7:A10"/>
    <mergeCell ref="A11:A16"/>
    <mergeCell ref="A17:A18"/>
    <mergeCell ref="B17:B18"/>
    <mergeCell ref="B21:B22"/>
    <mergeCell ref="A25:A26"/>
    <mergeCell ref="B25:B26"/>
    <mergeCell ref="A27:A29"/>
    <mergeCell ref="C29:H29"/>
    <mergeCell ref="A30:A31"/>
    <mergeCell ref="C32:H32"/>
    <mergeCell ref="A33:A36"/>
    <mergeCell ref="C37:H37"/>
    <mergeCell ref="A38:A42"/>
    <mergeCell ref="A43:A44"/>
    <mergeCell ref="B43:B44"/>
    <mergeCell ref="A45:A51"/>
    <mergeCell ref="B45:B51"/>
    <mergeCell ref="A64:A65"/>
    <mergeCell ref="B64:B65"/>
    <mergeCell ref="A54:A55"/>
    <mergeCell ref="B54:B55"/>
    <mergeCell ref="A52:A53"/>
    <mergeCell ref="B52:B53"/>
    <mergeCell ref="A56:A61"/>
    <mergeCell ref="B56:B61"/>
    <mergeCell ref="C58:H58"/>
    <mergeCell ref="C61:H61"/>
    <mergeCell ref="A62:A63"/>
    <mergeCell ref="B62:B63"/>
    <mergeCell ref="C79:H79"/>
    <mergeCell ref="A66:A71"/>
    <mergeCell ref="C68:H68"/>
    <mergeCell ref="C71:H71"/>
    <mergeCell ref="A72:A73"/>
    <mergeCell ref="B72:B73"/>
    <mergeCell ref="A74:A79"/>
    <mergeCell ref="B74:B79"/>
    <mergeCell ref="C76:H76"/>
    <mergeCell ref="A80:A81"/>
    <mergeCell ref="B80:B81"/>
    <mergeCell ref="C84:H84"/>
    <mergeCell ref="B88:B90"/>
    <mergeCell ref="A85:A87"/>
    <mergeCell ref="B85:B87"/>
    <mergeCell ref="A88:A93"/>
    <mergeCell ref="C90:H90"/>
    <mergeCell ref="A94:A95"/>
    <mergeCell ref="B94:B95"/>
    <mergeCell ref="A96:A101"/>
    <mergeCell ref="B96:B101"/>
    <mergeCell ref="C101:H101"/>
    <mergeCell ref="C102:H102"/>
    <mergeCell ref="A103:A106"/>
    <mergeCell ref="C121:H121"/>
    <mergeCell ref="C122:H122"/>
    <mergeCell ref="A123:A126"/>
    <mergeCell ref="B123:B126"/>
    <mergeCell ref="A127:A128"/>
    <mergeCell ref="B127:B128"/>
    <mergeCell ref="A129:A130"/>
    <mergeCell ref="B129:B130"/>
    <mergeCell ref="A131:A132"/>
    <mergeCell ref="B131:B132"/>
    <mergeCell ref="A133:A135"/>
    <mergeCell ref="B133:B135"/>
    <mergeCell ref="C135:H135"/>
    <mergeCell ref="A136:A137"/>
    <mergeCell ref="C146:H146"/>
    <mergeCell ref="A151:A152"/>
    <mergeCell ref="B151:B152"/>
    <mergeCell ref="A153:A155"/>
    <mergeCell ref="B153:B154"/>
    <mergeCell ref="C155:H155"/>
    <mergeCell ref="A156:A159"/>
    <mergeCell ref="B156:B159"/>
    <mergeCell ref="A160:A162"/>
    <mergeCell ref="B160:B162"/>
    <mergeCell ref="C180:H180"/>
    <mergeCell ref="C184:H184"/>
    <mergeCell ref="A163:A164"/>
    <mergeCell ref="B163:B164"/>
    <mergeCell ref="A165:A166"/>
    <mergeCell ref="B165:B166"/>
    <mergeCell ref="A167:A168"/>
    <mergeCell ref="B167:B169"/>
    <mergeCell ref="A169:A172"/>
    <mergeCell ref="A173:A187"/>
    <mergeCell ref="B173:B187"/>
    <mergeCell ref="C176:H176"/>
    <mergeCell ref="C177:H177"/>
    <mergeCell ref="C181:H181"/>
    <mergeCell ref="C211:H211"/>
    <mergeCell ref="C214:H214"/>
    <mergeCell ref="A215:A216"/>
    <mergeCell ref="B215:B216"/>
    <mergeCell ref="C205:H205"/>
    <mergeCell ref="C208:H208"/>
    <mergeCell ref="A206:A211"/>
    <mergeCell ref="B206:B211"/>
    <mergeCell ref="A212:A213"/>
    <mergeCell ref="B212:B213"/>
    <mergeCell ref="A217:A218"/>
    <mergeCell ref="B217:B218"/>
    <mergeCell ref="A219:A220"/>
    <mergeCell ref="B219:B220"/>
    <mergeCell ref="A221:A222"/>
    <mergeCell ref="B221:B222"/>
    <mergeCell ref="A223:A224"/>
    <mergeCell ref="B223:B224"/>
    <mergeCell ref="A225:A226"/>
    <mergeCell ref="B225:B226"/>
    <mergeCell ref="A227:A228"/>
    <mergeCell ref="A237:A238"/>
    <mergeCell ref="B237:B238"/>
    <mergeCell ref="A239:A240"/>
    <mergeCell ref="B239:B240"/>
    <mergeCell ref="A241:A242"/>
    <mergeCell ref="B241:B242"/>
    <mergeCell ref="A243:A244"/>
    <mergeCell ref="B243:B244"/>
    <mergeCell ref="A245:A246"/>
    <mergeCell ref="B245:B246"/>
    <mergeCell ref="A247:A248"/>
    <mergeCell ref="B247:B248"/>
    <mergeCell ref="B249:B250"/>
    <mergeCell ref="A251:A25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D53D3-B964-4F28-90C1-C85A725C3591}">
  <sheetPr codeName="shTaskCount"/>
  <dimension ref="A1:U55"/>
  <sheetViews>
    <sheetView tabSelected="1" topLeftCell="A4" zoomScaleNormal="100" workbookViewId="0">
      <selection activeCell="R15" sqref="R15"/>
    </sheetView>
  </sheetViews>
  <sheetFormatPr defaultRowHeight="15"/>
  <cols>
    <col min="1" max="1" width="73.85546875" customWidth="1"/>
    <col min="2" max="2" width="9" customWidth="1"/>
    <col min="4" max="5" width="4.42578125" customWidth="1"/>
    <col min="6" max="6" width="22" customWidth="1"/>
    <col min="7" max="7" width="25" customWidth="1"/>
    <col min="8" max="8" width="5" customWidth="1"/>
  </cols>
  <sheetData>
    <row r="1" spans="1:21">
      <c r="A1" s="49"/>
      <c r="B1" s="49"/>
      <c r="C1" s="50"/>
      <c r="D1" s="50"/>
      <c r="E1" s="50"/>
      <c r="F1" s="90" t="s">
        <v>119</v>
      </c>
      <c r="G1" s="9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</row>
    <row r="2" spans="1:21">
      <c r="A2" s="3" t="s">
        <v>151</v>
      </c>
      <c r="B2" s="46"/>
      <c r="C2" s="3"/>
      <c r="D2" s="3"/>
      <c r="E2" s="2"/>
      <c r="F2" s="48" t="s">
        <v>120</v>
      </c>
      <c r="G2" s="48"/>
      <c r="H2" s="2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</row>
    <row r="3" spans="1:21">
      <c r="A3" s="3" t="s">
        <v>152</v>
      </c>
      <c r="B3" s="1"/>
      <c r="C3" s="3"/>
      <c r="D3" s="3"/>
      <c r="E3" s="2"/>
      <c r="F3" s="48" t="s">
        <v>121</v>
      </c>
      <c r="G3" s="48"/>
      <c r="H3" s="2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</row>
    <row r="4" spans="1:21">
      <c r="A4" s="3" t="s">
        <v>153</v>
      </c>
      <c r="B4" s="1"/>
      <c r="C4" s="3"/>
      <c r="D4" s="3"/>
      <c r="E4" s="2"/>
      <c r="F4" s="48" t="s">
        <v>122</v>
      </c>
      <c r="G4" s="48"/>
      <c r="H4" s="2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</row>
    <row r="5" spans="1:21">
      <c r="A5" s="3" t="s">
        <v>154</v>
      </c>
      <c r="B5" s="1"/>
      <c r="C5" s="3"/>
      <c r="D5" s="3"/>
      <c r="E5" s="2"/>
      <c r="F5" s="48" t="s">
        <v>123</v>
      </c>
      <c r="G5" s="48"/>
      <c r="H5" s="2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</row>
    <row r="6" spans="1:21">
      <c r="A6" s="3" t="s">
        <v>155</v>
      </c>
      <c r="B6" s="1">
        <f>SUM(B4:B5)</f>
        <v>0</v>
      </c>
      <c r="C6" s="48" t="s">
        <v>0</v>
      </c>
      <c r="D6" s="48"/>
      <c r="E6" s="2"/>
      <c r="F6" s="48"/>
      <c r="G6" s="48"/>
      <c r="H6" s="2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</row>
    <row r="7" spans="1:21">
      <c r="A7" s="3" t="s">
        <v>156</v>
      </c>
      <c r="B7" s="1"/>
      <c r="C7" s="48"/>
      <c r="D7" s="48"/>
      <c r="E7" s="2"/>
      <c r="F7" s="48" t="s">
        <v>124</v>
      </c>
      <c r="G7" s="48"/>
      <c r="H7" s="2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</row>
    <row r="8" spans="1:21">
      <c r="A8" s="3" t="s">
        <v>157</v>
      </c>
      <c r="B8" s="1"/>
      <c r="C8" s="48"/>
      <c r="D8" s="48"/>
      <c r="E8" s="2"/>
      <c r="F8" s="48" t="s">
        <v>125</v>
      </c>
      <c r="G8" s="48"/>
      <c r="H8" s="2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</row>
    <row r="9" spans="1:21">
      <c r="A9" s="3" t="s">
        <v>158</v>
      </c>
      <c r="B9" s="1">
        <f>B8*4</f>
        <v>0</v>
      </c>
      <c r="C9" s="48" t="s">
        <v>0</v>
      </c>
      <c r="D9" s="48"/>
      <c r="E9" s="2"/>
      <c r="F9" s="48"/>
      <c r="G9" s="48"/>
      <c r="H9" s="2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</row>
    <row r="10" spans="1:21">
      <c r="A10" s="3" t="s">
        <v>159</v>
      </c>
      <c r="B10" s="1">
        <v>0</v>
      </c>
      <c r="C10" s="48"/>
      <c r="D10" s="48"/>
      <c r="E10" s="2"/>
      <c r="F10" s="48"/>
      <c r="G10" s="48"/>
      <c r="H10" s="2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</row>
    <row r="11" spans="1:21">
      <c r="A11" s="3" t="s">
        <v>160</v>
      </c>
      <c r="B11" s="1"/>
      <c r="C11" s="48"/>
      <c r="D11" s="48"/>
      <c r="E11" s="2"/>
      <c r="F11" s="48" t="s">
        <v>126</v>
      </c>
      <c r="G11" s="48"/>
      <c r="H11" s="2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</row>
    <row r="12" spans="1:21">
      <c r="A12" s="3" t="s">
        <v>161</v>
      </c>
      <c r="B12" s="1"/>
      <c r="C12" s="48"/>
      <c r="D12" s="48"/>
      <c r="E12" s="2"/>
      <c r="F12" s="48" t="s">
        <v>127</v>
      </c>
      <c r="G12" s="48"/>
      <c r="H12" s="2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</row>
    <row r="13" spans="1:21" ht="15.75" customHeight="1">
      <c r="A13" s="3" t="s">
        <v>162</v>
      </c>
      <c r="B13" s="1">
        <v>0</v>
      </c>
      <c r="C13" s="48"/>
      <c r="D13" s="48"/>
      <c r="E13" s="2"/>
      <c r="F13" s="48"/>
      <c r="G13" s="48"/>
      <c r="H13" s="2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</row>
    <row r="14" spans="1:21">
      <c r="A14" s="3" t="s">
        <v>163</v>
      </c>
      <c r="B14" s="1"/>
      <c r="C14" s="48"/>
      <c r="D14" s="48"/>
      <c r="E14" s="2"/>
      <c r="F14" s="48" t="s">
        <v>128</v>
      </c>
      <c r="G14" s="48" t="s">
        <v>129</v>
      </c>
      <c r="H14" s="2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</row>
    <row r="15" spans="1:21" ht="15.75" customHeight="1">
      <c r="A15" s="3" t="s">
        <v>164</v>
      </c>
      <c r="B15" s="1"/>
      <c r="C15" s="48"/>
      <c r="D15" s="48"/>
      <c r="E15" s="2"/>
      <c r="F15" s="48" t="s">
        <v>130</v>
      </c>
      <c r="G15" s="48"/>
      <c r="H15" s="2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</row>
    <row r="16" spans="1:21">
      <c r="A16" s="3" t="s">
        <v>165</v>
      </c>
      <c r="B16" s="1"/>
      <c r="C16" s="48"/>
      <c r="D16" s="48"/>
      <c r="E16" s="2"/>
      <c r="F16" s="48" t="s">
        <v>131</v>
      </c>
      <c r="G16" s="48"/>
      <c r="H16" s="2"/>
      <c r="I16" s="45"/>
      <c r="J16" s="45"/>
      <c r="K16" s="45"/>
      <c r="L16" s="45"/>
      <c r="M16" s="45"/>
      <c r="N16" s="45"/>
      <c r="O16" s="45"/>
      <c r="P16" s="45"/>
      <c r="Q16" s="45" t="s">
        <v>2</v>
      </c>
      <c r="R16" s="45"/>
      <c r="S16" s="45"/>
      <c r="T16" s="45"/>
      <c r="U16" s="45"/>
    </row>
    <row r="17" spans="1:21">
      <c r="A17" s="3" t="s">
        <v>166</v>
      </c>
      <c r="B17" s="1"/>
      <c r="C17" s="48"/>
      <c r="D17" s="48"/>
      <c r="E17" s="2"/>
      <c r="F17" s="48" t="s">
        <v>132</v>
      </c>
      <c r="G17" s="48"/>
      <c r="H17" s="2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</row>
    <row r="18" spans="1:21">
      <c r="A18" s="3" t="s">
        <v>167</v>
      </c>
      <c r="B18" s="1"/>
      <c r="C18" s="48"/>
      <c r="D18" s="48"/>
      <c r="E18" s="2"/>
      <c r="F18" s="48" t="s">
        <v>133</v>
      </c>
      <c r="G18" s="48"/>
      <c r="H18" s="2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</row>
    <row r="19" spans="1:21">
      <c r="A19" s="3" t="s">
        <v>168</v>
      </c>
      <c r="B19" s="1">
        <f>B18</f>
        <v>0</v>
      </c>
      <c r="C19" s="48"/>
      <c r="D19" s="48"/>
      <c r="E19" s="2"/>
      <c r="F19" s="48"/>
      <c r="G19" s="48"/>
      <c r="H19" s="2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</row>
    <row r="20" spans="1:21">
      <c r="A20" s="3" t="s">
        <v>169</v>
      </c>
      <c r="B20" s="1"/>
      <c r="C20" s="48"/>
      <c r="D20" s="48"/>
      <c r="E20" s="2"/>
      <c r="F20" s="48" t="s">
        <v>134</v>
      </c>
      <c r="G20" s="48"/>
      <c r="H20" s="2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</row>
    <row r="21" spans="1:21">
      <c r="A21" s="3" t="s">
        <v>170</v>
      </c>
      <c r="B21" s="1"/>
      <c r="C21" s="48"/>
      <c r="D21" s="48"/>
      <c r="E21" s="2"/>
      <c r="F21" s="48" t="s">
        <v>148</v>
      </c>
      <c r="G21" s="48" t="s">
        <v>149</v>
      </c>
      <c r="H21" s="2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</row>
    <row r="22" spans="1:21">
      <c r="A22" s="3" t="s">
        <v>171</v>
      </c>
      <c r="B22" s="1"/>
      <c r="C22" s="48"/>
      <c r="D22" s="48"/>
      <c r="E22" s="2"/>
      <c r="F22" s="48" t="s">
        <v>135</v>
      </c>
      <c r="G22" s="48"/>
      <c r="H22" s="2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</row>
    <row r="23" spans="1:21">
      <c r="A23" s="3" t="s">
        <v>172</v>
      </c>
      <c r="B23" s="1"/>
      <c r="C23" s="48"/>
      <c r="D23" s="48"/>
      <c r="E23" s="2"/>
      <c r="F23" s="48"/>
      <c r="G23" s="48"/>
      <c r="H23" s="2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</row>
    <row r="24" spans="1:21">
      <c r="A24" s="3" t="s">
        <v>173</v>
      </c>
      <c r="B24" s="1"/>
      <c r="C24" s="48"/>
      <c r="D24" s="48"/>
      <c r="E24" s="2"/>
      <c r="F24" s="48" t="s">
        <v>136</v>
      </c>
      <c r="G24" s="48"/>
      <c r="H24" s="2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</row>
    <row r="25" spans="1:21">
      <c r="A25" s="3" t="s">
        <v>174</v>
      </c>
      <c r="B25" s="1"/>
      <c r="C25" s="48"/>
      <c r="D25" s="48"/>
      <c r="E25" s="2"/>
      <c r="F25" s="48" t="s">
        <v>136</v>
      </c>
      <c r="G25" s="48"/>
      <c r="H25" s="2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</row>
    <row r="26" spans="1:21" ht="15" customHeight="1">
      <c r="A26" s="3" t="s">
        <v>175</v>
      </c>
      <c r="B26" s="1"/>
      <c r="C26" s="48"/>
      <c r="D26" s="48"/>
      <c r="E26" s="2"/>
      <c r="F26" s="48" t="s">
        <v>137</v>
      </c>
      <c r="G26" s="48"/>
      <c r="H26" s="2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</row>
    <row r="27" spans="1:21">
      <c r="A27" s="3" t="s">
        <v>176</v>
      </c>
      <c r="B27" s="1"/>
      <c r="C27" s="48"/>
      <c r="D27" s="48"/>
      <c r="E27" s="2"/>
      <c r="F27" s="48" t="s">
        <v>138</v>
      </c>
      <c r="G27" s="48"/>
      <c r="H27" s="2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</row>
    <row r="28" spans="1:21">
      <c r="A28" s="3" t="s">
        <v>177</v>
      </c>
      <c r="B28" s="1"/>
      <c r="C28" s="48"/>
      <c r="D28" s="48"/>
      <c r="E28" s="2"/>
      <c r="F28" s="48" t="s">
        <v>139</v>
      </c>
      <c r="G28" s="48"/>
      <c r="H28" s="2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</row>
    <row r="29" spans="1:21">
      <c r="A29" s="3" t="s">
        <v>178</v>
      </c>
      <c r="B29" s="1"/>
      <c r="C29" s="48" t="s">
        <v>1</v>
      </c>
      <c r="D29" s="48"/>
      <c r="E29" s="2"/>
      <c r="F29" s="48"/>
      <c r="G29" s="48"/>
      <c r="H29" s="2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</row>
    <row r="30" spans="1:21" ht="16.5" customHeight="1">
      <c r="A30" s="3" t="s">
        <v>179</v>
      </c>
      <c r="B30" s="1">
        <v>1</v>
      </c>
      <c r="C30" s="48"/>
      <c r="D30" s="48"/>
      <c r="E30" s="2"/>
      <c r="F30" s="48"/>
      <c r="G30" s="48"/>
      <c r="H30" s="2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</row>
    <row r="31" spans="1:21">
      <c r="A31" s="3" t="s">
        <v>180</v>
      </c>
      <c r="B31" s="1"/>
      <c r="C31" s="48" t="s">
        <v>1</v>
      </c>
      <c r="D31" s="48"/>
      <c r="E31" s="2"/>
      <c r="F31" s="48"/>
      <c r="G31" s="48"/>
      <c r="H31" s="2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</row>
    <row r="32" spans="1:21" ht="15.75" customHeight="1">
      <c r="A32" s="3" t="s">
        <v>181</v>
      </c>
      <c r="B32" s="1"/>
      <c r="C32" s="48" t="s">
        <v>1</v>
      </c>
      <c r="D32" s="48"/>
      <c r="E32" s="2"/>
      <c r="F32" s="48"/>
      <c r="G32" s="48"/>
      <c r="H32" s="2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</row>
    <row r="33" spans="1:21">
      <c r="A33" s="3" t="s">
        <v>182</v>
      </c>
      <c r="B33" s="1">
        <v>0</v>
      </c>
      <c r="C33" s="48"/>
      <c r="D33" s="48"/>
      <c r="E33" s="2"/>
      <c r="F33" s="48"/>
      <c r="G33" s="48"/>
      <c r="H33" s="2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</row>
    <row r="34" spans="1:21" ht="15.75" customHeight="1">
      <c r="A34" s="3" t="s">
        <v>183</v>
      </c>
      <c r="B34" s="1"/>
      <c r="C34" s="48"/>
      <c r="D34" s="48"/>
      <c r="E34" s="2"/>
      <c r="F34" s="48"/>
      <c r="G34" s="48"/>
      <c r="H34" s="2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</row>
    <row r="35" spans="1:21">
      <c r="A35" s="3" t="s">
        <v>184</v>
      </c>
      <c r="B35" s="1"/>
      <c r="C35" s="48"/>
      <c r="D35" s="48"/>
      <c r="E35" s="2"/>
      <c r="F35" s="48" t="s">
        <v>140</v>
      </c>
      <c r="G35" s="48"/>
      <c r="H35" s="2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</row>
    <row r="36" spans="1:21">
      <c r="A36" s="3" t="s">
        <v>185</v>
      </c>
      <c r="B36" s="1"/>
      <c r="C36" s="48"/>
      <c r="D36" s="48"/>
      <c r="E36" s="2"/>
      <c r="F36" s="48" t="s">
        <v>141</v>
      </c>
      <c r="G36" s="48"/>
      <c r="H36" s="2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</row>
    <row r="37" spans="1:21">
      <c r="A37" s="3" t="s">
        <v>186</v>
      </c>
      <c r="B37" s="1"/>
      <c r="C37" s="48"/>
      <c r="D37" s="48"/>
      <c r="E37" s="2"/>
      <c r="F37" s="48" t="s">
        <v>142</v>
      </c>
      <c r="G37" s="48"/>
      <c r="H37" s="2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</row>
    <row r="38" spans="1:21">
      <c r="A38" s="3" t="s">
        <v>187</v>
      </c>
      <c r="B38" s="1">
        <v>1</v>
      </c>
      <c r="C38" s="48"/>
      <c r="D38" s="48"/>
      <c r="E38" s="2"/>
      <c r="F38" s="48" t="s">
        <v>147</v>
      </c>
      <c r="G38" s="48"/>
      <c r="H38" s="2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</row>
    <row r="39" spans="1:21">
      <c r="A39" s="3" t="s">
        <v>188</v>
      </c>
      <c r="B39" s="1"/>
      <c r="C39" s="48" t="s">
        <v>1</v>
      </c>
      <c r="D39" s="48"/>
      <c r="E39" s="2"/>
      <c r="F39" s="48"/>
      <c r="G39" s="48"/>
      <c r="H39" s="2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</row>
    <row r="40" spans="1:21">
      <c r="A40" s="3" t="s">
        <v>189</v>
      </c>
      <c r="B40" s="1">
        <f>6+B43</f>
        <v>6</v>
      </c>
      <c r="C40" s="48" t="s">
        <v>0</v>
      </c>
      <c r="D40" s="48"/>
      <c r="E40" s="2"/>
      <c r="F40" s="48"/>
      <c r="G40" s="48"/>
      <c r="H40" s="2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</row>
    <row r="41" spans="1:21">
      <c r="A41" s="3" t="s">
        <v>190</v>
      </c>
      <c r="B41" s="1"/>
      <c r="C41" s="48"/>
      <c r="D41" s="48"/>
      <c r="E41" s="2"/>
      <c r="F41" s="48" t="s">
        <v>143</v>
      </c>
      <c r="G41" s="48"/>
      <c r="H41" s="2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</row>
    <row r="42" spans="1:21">
      <c r="A42" s="3" t="s">
        <v>191</v>
      </c>
      <c r="B42" s="1"/>
      <c r="C42" s="48" t="s">
        <v>1</v>
      </c>
      <c r="D42" s="48"/>
      <c r="E42" s="2"/>
      <c r="F42" s="48"/>
      <c r="G42" s="48"/>
      <c r="H42" s="2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</row>
    <row r="43" spans="1:21">
      <c r="A43" s="3" t="s">
        <v>192</v>
      </c>
      <c r="B43" s="1"/>
      <c r="C43" s="48"/>
      <c r="D43" s="48"/>
      <c r="E43" s="2"/>
      <c r="F43" s="48" t="s">
        <v>144</v>
      </c>
      <c r="G43" s="48"/>
      <c r="H43" s="2"/>
      <c r="I43" s="45"/>
      <c r="J43" s="45"/>
      <c r="K43" s="45"/>
      <c r="L43" s="45"/>
      <c r="M43" s="45"/>
      <c r="N43" s="45"/>
      <c r="O43" s="45"/>
      <c r="P43" s="45"/>
      <c r="Q43" s="45"/>
      <c r="R43" s="45"/>
      <c r="S43" s="45"/>
      <c r="T43" s="45"/>
      <c r="U43" s="45"/>
    </row>
    <row r="44" spans="1:21">
      <c r="A44" s="3" t="s">
        <v>193</v>
      </c>
      <c r="B44" s="1"/>
      <c r="C44" s="48" t="s">
        <v>1</v>
      </c>
      <c r="D44" s="48"/>
      <c r="E44" s="2"/>
      <c r="F44" s="48"/>
      <c r="G44" s="48"/>
      <c r="H44" s="2"/>
      <c r="I44" s="45"/>
      <c r="J44" s="45"/>
      <c r="K44" s="45"/>
      <c r="L44" s="45"/>
      <c r="M44" s="45"/>
      <c r="N44" s="45"/>
      <c r="O44" s="45"/>
      <c r="P44" s="45"/>
      <c r="Q44" s="45"/>
      <c r="R44" s="45"/>
      <c r="S44" s="45"/>
      <c r="T44" s="45"/>
      <c r="U44" s="45"/>
    </row>
    <row r="45" spans="1:21">
      <c r="A45" s="3" t="s">
        <v>194</v>
      </c>
      <c r="B45" s="1"/>
      <c r="C45" s="48" t="s">
        <v>1</v>
      </c>
      <c r="D45" s="48"/>
      <c r="E45" s="2"/>
      <c r="F45" s="48"/>
      <c r="G45" s="48"/>
      <c r="H45" s="2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</row>
    <row r="46" spans="1:21">
      <c r="A46" s="3" t="s">
        <v>195</v>
      </c>
      <c r="B46" s="1"/>
      <c r="C46" s="48" t="s">
        <v>1</v>
      </c>
      <c r="D46" s="48"/>
      <c r="E46" s="2"/>
      <c r="F46" s="48"/>
      <c r="G46" s="48"/>
      <c r="H46" s="2"/>
      <c r="I46" s="45"/>
      <c r="J46" s="45"/>
      <c r="K46" s="45"/>
      <c r="L46" s="45"/>
      <c r="M46" s="45"/>
      <c r="N46" s="45"/>
      <c r="O46" s="45"/>
      <c r="P46" s="45"/>
      <c r="Q46" s="45"/>
      <c r="R46" s="45"/>
      <c r="S46" s="45"/>
      <c r="T46" s="45"/>
      <c r="U46" s="45"/>
    </row>
    <row r="47" spans="1:21">
      <c r="A47" s="3" t="s">
        <v>196</v>
      </c>
      <c r="B47" s="1"/>
      <c r="C47" s="48" t="s">
        <v>1</v>
      </c>
      <c r="D47" s="48"/>
      <c r="E47" s="2"/>
      <c r="F47" s="48"/>
      <c r="G47" s="48"/>
      <c r="H47" s="2"/>
      <c r="I47" s="45"/>
      <c r="J47" s="45"/>
      <c r="K47" s="45"/>
      <c r="L47" s="45"/>
      <c r="M47" s="45"/>
      <c r="N47" s="45"/>
      <c r="O47" s="45"/>
      <c r="P47" s="45"/>
      <c r="Q47" s="45"/>
      <c r="R47" s="45"/>
      <c r="S47" s="45"/>
      <c r="T47" s="45"/>
      <c r="U47" s="45"/>
    </row>
    <row r="48" spans="1:21">
      <c r="A48" s="3" t="s">
        <v>197</v>
      </c>
      <c r="B48" s="1"/>
      <c r="C48" s="48"/>
      <c r="D48" s="48"/>
      <c r="E48" s="2"/>
      <c r="F48" s="48" t="s">
        <v>145</v>
      </c>
      <c r="G48" s="48"/>
      <c r="H48" s="2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</row>
    <row r="49" spans="1:21">
      <c r="A49" s="3" t="s">
        <v>198</v>
      </c>
      <c r="B49" s="1"/>
      <c r="C49" s="48"/>
      <c r="D49" s="48"/>
      <c r="E49" s="2"/>
      <c r="F49" s="48" t="s">
        <v>146</v>
      </c>
      <c r="G49" s="48"/>
      <c r="H49" s="2"/>
      <c r="I49" s="45"/>
      <c r="J49" s="45"/>
      <c r="K49" s="45"/>
      <c r="L49" s="45"/>
      <c r="M49" s="45"/>
      <c r="N49" s="45"/>
      <c r="O49" s="45"/>
      <c r="P49" s="45"/>
      <c r="Q49" s="45"/>
      <c r="R49" s="45"/>
      <c r="S49" s="45"/>
      <c r="T49" s="45"/>
      <c r="U49" s="45"/>
    </row>
    <row r="55" spans="1:21">
      <c r="A55" t="s">
        <v>150</v>
      </c>
    </row>
  </sheetData>
  <mergeCells count="1">
    <mergeCell ref="F1:G1"/>
  </mergeCells>
  <phoneticPr fontId="13" type="noConversion"/>
  <pageMargins left="0.7" right="0.7" top="0.75" bottom="0.75" header="0.3" footer="0.3"/>
  <pageSetup paperSize="9" orientation="portrait" r:id="rId1"/>
  <drawing r:id="rId2"/>
</worksheet>
</file>

<file path=docMetadata/LabelInfo.xml><?xml version="1.0" encoding="utf-8"?>
<clbl:labelList xmlns:clbl="http://schemas.microsoft.com/office/2020/mipLabelMetadata">
  <clbl:label id="{fd873446-2530-497e-8874-95622ddd5de1}" enabled="1" method="Privileged" siteId="{9a8ff9e3-0e35-4620-a724-e9834dc50b5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TaskCount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Gržibovskis, Verners</dc:creator>
  <cp:lastModifiedBy>Verners Grzibovskis</cp:lastModifiedBy>
  <dcterms:created xsi:type="dcterms:W3CDTF">2015-06-05T18:19:34Z</dcterms:created>
  <dcterms:modified xsi:type="dcterms:W3CDTF">2025-02-27T15:47:19Z</dcterms:modified>
</cp:coreProperties>
</file>